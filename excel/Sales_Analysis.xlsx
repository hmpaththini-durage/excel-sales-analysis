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pdhma\Projects\3_Excel\excel-sales-analysis\excel\"/>
    </mc:Choice>
  </mc:AlternateContent>
  <xr:revisionPtr revIDLastSave="0" documentId="13_ncr:1_{1280AC14-F171-4E20-80A4-DE7FDD5F0F77}" xr6:coauthVersionLast="47" xr6:coauthVersionMax="47" xr10:uidLastSave="{00000000-0000-0000-0000-000000000000}"/>
  <bookViews>
    <workbookView xWindow="-108" yWindow="-108" windowWidth="23256" windowHeight="12456" tabRatio="732" activeTab="4" xr2:uid="{E521CB7E-2997-401E-99B1-E9C0F13B6DEB}"/>
  </bookViews>
  <sheets>
    <sheet name="Pivot_Data" sheetId="5" r:id="rId1"/>
    <sheet name="sales_data csv" sheetId="2" r:id="rId2"/>
    <sheet name="Summary" sheetId="1" r:id="rId3"/>
    <sheet name="Clean_Data" sheetId="3" r:id="rId4"/>
    <sheet name="Dashboard" sheetId="4" r:id="rId5"/>
  </sheets>
  <definedNames>
    <definedName name="_xlcn.WorksheetConnection_Sales_Analysis.xlsxSalesTable1" hidden="1">SalesTable[]</definedName>
    <definedName name="ExternalData_1" localSheetId="3" hidden="1">Clean_Data!$A$1:$G$81</definedName>
    <definedName name="ExternalData_1" localSheetId="1" hidden="1">'sales_data csv'!$A$1:$G$81</definedName>
    <definedName name="Slicer_Performance">#N/A</definedName>
    <definedName name="Slicer_Product">#N/A</definedName>
    <definedName name="Slicer_Region">#N/A</definedName>
  </definedNames>
  <calcPr calcId="191029"/>
  <pivotCaches>
    <pivotCache cacheId="16" r:id="rId6"/>
    <pivotCache cacheId="32" r:id="rId7"/>
    <pivotCache cacheId="38" r:id="rId8"/>
    <pivotCache cacheId="39"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Table" name="SalesTable" connection="WorksheetConnection_Sales_Analysis.xlsx!Sale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4" l="1"/>
  <c r="J81" i="3"/>
  <c r="I81" i="3"/>
  <c r="H81" i="3"/>
  <c r="J80" i="3"/>
  <c r="I80" i="3"/>
  <c r="H80" i="3"/>
  <c r="J79" i="3"/>
  <c r="I79" i="3"/>
  <c r="H79" i="3"/>
  <c r="J78" i="3"/>
  <c r="I78" i="3"/>
  <c r="H78" i="3"/>
  <c r="J77" i="3"/>
  <c r="I77" i="3"/>
  <c r="H77" i="3"/>
  <c r="J76" i="3"/>
  <c r="I76" i="3"/>
  <c r="H76" i="3"/>
  <c r="J75" i="3"/>
  <c r="I75" i="3"/>
  <c r="H75" i="3"/>
  <c r="J74" i="3"/>
  <c r="I74" i="3"/>
  <c r="H74" i="3"/>
  <c r="J73" i="3"/>
  <c r="I73" i="3"/>
  <c r="H73" i="3"/>
  <c r="J72" i="3"/>
  <c r="I72" i="3"/>
  <c r="H72" i="3"/>
  <c r="J71" i="3"/>
  <c r="I71" i="3"/>
  <c r="H71" i="3"/>
  <c r="J70" i="3"/>
  <c r="I70" i="3"/>
  <c r="H70" i="3"/>
  <c r="J69" i="3"/>
  <c r="I69" i="3"/>
  <c r="H69" i="3"/>
  <c r="J68" i="3"/>
  <c r="I68" i="3"/>
  <c r="H68" i="3"/>
  <c r="J67" i="3"/>
  <c r="I67" i="3"/>
  <c r="H67" i="3"/>
  <c r="J66" i="3"/>
  <c r="I66" i="3"/>
  <c r="H66" i="3"/>
  <c r="J65" i="3"/>
  <c r="I65" i="3"/>
  <c r="H65" i="3"/>
  <c r="J64" i="3"/>
  <c r="I64" i="3"/>
  <c r="H64" i="3"/>
  <c r="J63" i="3"/>
  <c r="I63" i="3"/>
  <c r="H63" i="3"/>
  <c r="J62" i="3"/>
  <c r="I62" i="3"/>
  <c r="H62" i="3"/>
  <c r="J61" i="3"/>
  <c r="I61" i="3"/>
  <c r="H61" i="3"/>
  <c r="J60" i="3"/>
  <c r="I60" i="3"/>
  <c r="H60" i="3"/>
  <c r="J59" i="3"/>
  <c r="I59" i="3"/>
  <c r="H59" i="3"/>
  <c r="J58" i="3"/>
  <c r="I58" i="3"/>
  <c r="H58" i="3"/>
  <c r="J57" i="3"/>
  <c r="I57" i="3"/>
  <c r="H57" i="3"/>
  <c r="J56" i="3"/>
  <c r="I56" i="3"/>
  <c r="H56" i="3"/>
  <c r="J55" i="3"/>
  <c r="I55" i="3"/>
  <c r="H55" i="3"/>
  <c r="J54" i="3"/>
  <c r="I54" i="3"/>
  <c r="H54" i="3"/>
  <c r="J53" i="3"/>
  <c r="I53" i="3"/>
  <c r="H53" i="3"/>
  <c r="J52" i="3"/>
  <c r="I52" i="3"/>
  <c r="H52" i="3"/>
  <c r="J51" i="3"/>
  <c r="I51" i="3"/>
  <c r="H51" i="3"/>
  <c r="J50" i="3"/>
  <c r="I50" i="3"/>
  <c r="H50" i="3"/>
  <c r="J49" i="3"/>
  <c r="I49" i="3"/>
  <c r="H49" i="3"/>
  <c r="J48" i="3"/>
  <c r="I48" i="3"/>
  <c r="H48" i="3"/>
  <c r="J47" i="3"/>
  <c r="I47" i="3"/>
  <c r="H47" i="3"/>
  <c r="J46" i="3"/>
  <c r="I46" i="3"/>
  <c r="H46" i="3"/>
  <c r="J45" i="3"/>
  <c r="I45" i="3"/>
  <c r="H45" i="3"/>
  <c r="J44" i="3"/>
  <c r="I44" i="3"/>
  <c r="H44" i="3"/>
  <c r="J43" i="3"/>
  <c r="I43" i="3"/>
  <c r="H43" i="3"/>
  <c r="J42" i="3"/>
  <c r="I42" i="3"/>
  <c r="H42" i="3"/>
  <c r="J41" i="3"/>
  <c r="I41" i="3"/>
  <c r="H41" i="3"/>
  <c r="J40" i="3"/>
  <c r="I40" i="3"/>
  <c r="H40" i="3"/>
  <c r="J39" i="3"/>
  <c r="I39" i="3"/>
  <c r="H39" i="3"/>
  <c r="J38" i="3"/>
  <c r="I38" i="3"/>
  <c r="H38" i="3"/>
  <c r="J37" i="3"/>
  <c r="I37" i="3"/>
  <c r="H37" i="3"/>
  <c r="J36" i="3"/>
  <c r="I36" i="3"/>
  <c r="H36" i="3"/>
  <c r="J35" i="3"/>
  <c r="I35" i="3"/>
  <c r="H35" i="3"/>
  <c r="J34" i="3"/>
  <c r="I34" i="3"/>
  <c r="H34" i="3"/>
  <c r="J33" i="3"/>
  <c r="I33" i="3"/>
  <c r="H33" i="3"/>
  <c r="J32" i="3"/>
  <c r="I32" i="3"/>
  <c r="H32" i="3"/>
  <c r="J31" i="3"/>
  <c r="I31" i="3"/>
  <c r="H31" i="3"/>
  <c r="J30" i="3"/>
  <c r="I30" i="3"/>
  <c r="H30" i="3"/>
  <c r="J29" i="3"/>
  <c r="I29" i="3"/>
  <c r="H29" i="3"/>
  <c r="J28" i="3"/>
  <c r="I28" i="3"/>
  <c r="H28" i="3"/>
  <c r="J27" i="3"/>
  <c r="I27" i="3"/>
  <c r="H27" i="3"/>
  <c r="J26" i="3"/>
  <c r="I26" i="3"/>
  <c r="H26" i="3"/>
  <c r="J25" i="3"/>
  <c r="I25" i="3"/>
  <c r="H25" i="3"/>
  <c r="J24" i="3"/>
  <c r="I24" i="3"/>
  <c r="H24" i="3"/>
  <c r="J23" i="3"/>
  <c r="I23" i="3"/>
  <c r="H23" i="3"/>
  <c r="J22" i="3"/>
  <c r="I22" i="3"/>
  <c r="H22" i="3"/>
  <c r="J21" i="3"/>
  <c r="I21" i="3"/>
  <c r="H21" i="3"/>
  <c r="J20" i="3"/>
  <c r="I20" i="3"/>
  <c r="H20" i="3"/>
  <c r="J19" i="3"/>
  <c r="I19" i="3"/>
  <c r="H19" i="3"/>
  <c r="J18" i="3"/>
  <c r="I18" i="3"/>
  <c r="H18" i="3"/>
  <c r="J17" i="3"/>
  <c r="I17" i="3"/>
  <c r="H17" i="3"/>
  <c r="J16" i="3"/>
  <c r="I16" i="3"/>
  <c r="H16" i="3"/>
  <c r="J15" i="3"/>
  <c r="I15" i="3"/>
  <c r="H15" i="3"/>
  <c r="J14" i="3"/>
  <c r="I14" i="3"/>
  <c r="H14" i="3"/>
  <c r="J13" i="3"/>
  <c r="I13" i="3"/>
  <c r="H13" i="3"/>
  <c r="J12" i="3"/>
  <c r="I12" i="3"/>
  <c r="H12" i="3"/>
  <c r="J11" i="3"/>
  <c r="I11" i="3"/>
  <c r="H11" i="3"/>
  <c r="J10" i="3"/>
  <c r="I10" i="3"/>
  <c r="H10" i="3"/>
  <c r="J9" i="3"/>
  <c r="I9" i="3"/>
  <c r="H9" i="3"/>
  <c r="J8" i="3"/>
  <c r="I8" i="3"/>
  <c r="H8" i="3"/>
  <c r="J7" i="3"/>
  <c r="I7" i="3"/>
  <c r="H7" i="3"/>
  <c r="J6" i="3"/>
  <c r="I6" i="3"/>
  <c r="H6" i="3"/>
  <c r="J5" i="3"/>
  <c r="I5" i="3"/>
  <c r="H5" i="3"/>
  <c r="J4" i="3"/>
  <c r="I4" i="3"/>
  <c r="H4" i="3"/>
  <c r="J3" i="3"/>
  <c r="I3" i="3"/>
  <c r="H3" i="3"/>
  <c r="J2" i="3"/>
  <c r="I2" i="3"/>
  <c r="H2" i="3"/>
  <c r="H3" i="1"/>
  <c r="H4" i="1"/>
  <c r="H2" i="1"/>
  <c r="J27" i="2"/>
  <c r="J56" i="2"/>
  <c r="J7" i="2"/>
  <c r="J57" i="2"/>
  <c r="J38" i="2"/>
  <c r="J39" i="2"/>
  <c r="J66" i="2"/>
  <c r="J12" i="2"/>
  <c r="J79" i="2"/>
  <c r="J2" i="2"/>
  <c r="J77" i="2"/>
  <c r="J72" i="2"/>
  <c r="J40" i="2"/>
  <c r="J50" i="2"/>
  <c r="J23" i="2"/>
  <c r="J28" i="2"/>
  <c r="J34" i="2"/>
  <c r="J58" i="2"/>
  <c r="J73" i="2"/>
  <c r="J8" i="2"/>
  <c r="J13" i="2"/>
  <c r="J14" i="2"/>
  <c r="J41" i="2"/>
  <c r="J59" i="2"/>
  <c r="J55" i="2"/>
  <c r="J67" i="2"/>
  <c r="J3" i="2"/>
  <c r="J78" i="2"/>
  <c r="J51" i="2"/>
  <c r="J29" i="2"/>
  <c r="J42" i="2"/>
  <c r="J48" i="2"/>
  <c r="J60" i="2"/>
  <c r="J24" i="2"/>
  <c r="J68" i="2"/>
  <c r="J43" i="2"/>
  <c r="J15" i="2"/>
  <c r="J74" i="2"/>
  <c r="J30" i="2"/>
  <c r="J4" i="2"/>
  <c r="J61" i="2"/>
  <c r="J16" i="2"/>
  <c r="J35" i="2"/>
  <c r="J52" i="2"/>
  <c r="J44" i="2"/>
  <c r="J9" i="2"/>
  <c r="J80" i="2"/>
  <c r="J62" i="2"/>
  <c r="J25" i="2"/>
  <c r="J69" i="2"/>
  <c r="J17" i="2"/>
  <c r="J18" i="2"/>
  <c r="J49" i="2"/>
  <c r="J31" i="2"/>
  <c r="J36" i="2"/>
  <c r="J75" i="2"/>
  <c r="J45" i="2"/>
  <c r="J5" i="2"/>
  <c r="J53" i="2"/>
  <c r="J32" i="2"/>
  <c r="J46" i="2"/>
  <c r="J63" i="2"/>
  <c r="J6" i="2"/>
  <c r="J10" i="2"/>
  <c r="J81" i="2"/>
  <c r="J19" i="2"/>
  <c r="J20" i="2"/>
  <c r="J70" i="2"/>
  <c r="J64" i="2"/>
  <c r="J26" i="2"/>
  <c r="J76" i="2"/>
  <c r="J47" i="2"/>
  <c r="J11" i="2"/>
  <c r="J54" i="2"/>
  <c r="J33" i="2"/>
  <c r="J37" i="2"/>
  <c r="J65" i="2"/>
  <c r="J21" i="2"/>
  <c r="J22" i="2"/>
  <c r="J71" i="2"/>
  <c r="I27" i="2"/>
  <c r="I57" i="2"/>
  <c r="I38" i="2"/>
  <c r="I12" i="2"/>
  <c r="I2" i="2"/>
  <c r="I72" i="2"/>
  <c r="I50" i="2"/>
  <c r="I34" i="2"/>
  <c r="I14" i="2"/>
  <c r="I41" i="2"/>
  <c r="I29" i="2"/>
  <c r="I42" i="2"/>
  <c r="I68" i="2"/>
  <c r="I74" i="2"/>
  <c r="I16" i="2"/>
  <c r="I35" i="2"/>
  <c r="I62" i="2"/>
  <c r="I69" i="2"/>
  <c r="I49" i="2"/>
  <c r="I31" i="2"/>
  <c r="I75" i="2"/>
  <c r="I45" i="2"/>
  <c r="I5" i="2"/>
  <c r="I53" i="2"/>
  <c r="I6" i="2"/>
  <c r="I10" i="2"/>
  <c r="I81" i="2"/>
  <c r="I19" i="2"/>
  <c r="I20" i="2"/>
  <c r="I70" i="2"/>
  <c r="I64" i="2"/>
  <c r="I26" i="2"/>
  <c r="I76" i="2"/>
  <c r="I47" i="2"/>
  <c r="I33" i="2"/>
  <c r="I65" i="2"/>
  <c r="H27" i="2"/>
  <c r="H56" i="2"/>
  <c r="H7" i="2"/>
  <c r="H57" i="2"/>
  <c r="H38" i="2"/>
  <c r="H39" i="2"/>
  <c r="H66" i="2"/>
  <c r="H12" i="2"/>
  <c r="H79" i="2"/>
  <c r="H2" i="2"/>
  <c r="H77" i="2"/>
  <c r="H72" i="2"/>
  <c r="H40" i="2"/>
  <c r="H50" i="2"/>
  <c r="H23" i="2"/>
  <c r="H28" i="2"/>
  <c r="H34" i="2"/>
  <c r="H58" i="2"/>
  <c r="H73" i="2"/>
  <c r="H8" i="2"/>
  <c r="H13" i="2"/>
  <c r="H14" i="2"/>
  <c r="H41" i="2"/>
  <c r="H59" i="2"/>
  <c r="H55" i="2"/>
  <c r="H67" i="2"/>
  <c r="H3" i="2"/>
  <c r="H78" i="2"/>
  <c r="H51" i="2"/>
  <c r="H29" i="2"/>
  <c r="H42" i="2"/>
  <c r="H48" i="2"/>
  <c r="H60" i="2"/>
  <c r="H24" i="2"/>
  <c r="H68" i="2"/>
  <c r="H43" i="2"/>
  <c r="H15" i="2"/>
  <c r="H74" i="2"/>
  <c r="H30" i="2"/>
  <c r="H4" i="2"/>
  <c r="H61" i="2"/>
  <c r="H16" i="2"/>
  <c r="H35" i="2"/>
  <c r="H52" i="2"/>
  <c r="H44" i="2"/>
  <c r="H9" i="2"/>
  <c r="H80" i="2"/>
  <c r="H62" i="2"/>
  <c r="H25" i="2"/>
  <c r="H69" i="2"/>
  <c r="H17" i="2"/>
  <c r="H18" i="2"/>
  <c r="H49" i="2"/>
  <c r="H31" i="2"/>
  <c r="H36" i="2"/>
  <c r="H75" i="2"/>
  <c r="H45" i="2"/>
  <c r="H5" i="2"/>
  <c r="H53" i="2"/>
  <c r="H32" i="2"/>
  <c r="H46" i="2"/>
  <c r="H63" i="2"/>
  <c r="H6" i="2"/>
  <c r="H10" i="2"/>
  <c r="H81" i="2"/>
  <c r="H19" i="2"/>
  <c r="H20" i="2"/>
  <c r="H70" i="2"/>
  <c r="H64" i="2"/>
  <c r="H26" i="2"/>
  <c r="H76" i="2"/>
  <c r="H47" i="2"/>
  <c r="H11" i="2"/>
  <c r="H54" i="2"/>
  <c r="H33" i="2"/>
  <c r="H37" i="2"/>
  <c r="H65" i="2"/>
  <c r="H21" i="2"/>
  <c r="H22" i="2"/>
  <c r="H71" i="2"/>
  <c r="B20" i="1" l="1"/>
  <c r="B17" i="1"/>
  <c r="I20" i="4"/>
  <c r="B15" i="1"/>
  <c r="I19" i="4"/>
  <c r="B14" i="1"/>
  <c r="B25" i="1"/>
  <c r="B24" i="1"/>
  <c r="B23" i="1"/>
  <c r="B22" i="1"/>
  <c r="B18" i="1"/>
  <c r="B16" i="1"/>
  <c r="B21" i="1"/>
  <c r="B19" i="1"/>
  <c r="B4" i="1"/>
  <c r="B2" i="1"/>
  <c r="B5" i="1"/>
  <c r="J16" i="1"/>
  <c r="B3" i="1"/>
  <c r="J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A65552-C9B6-4B64-8EAC-CCDFB858F5D6}" keepAlive="1" name="Query - sales_data csv" description="Connection to the 'sales_data csv' query in the workbook." type="5" refreshedVersion="8" background="1" saveData="1">
    <dbPr connection="Provider=Microsoft.Mashup.OleDb.1;Data Source=$Workbook$;Location=&quot;sales_data csv&quot;;Extended Properties=&quot;&quot;" command="SELECT * FROM [sales_data csv]"/>
  </connection>
  <connection id="2" xr16:uid="{3C441110-3EB0-467F-87CA-DD7EFA513D23}" keepAlive="1" name="Query - sales_data csv (2)" description="Connection to the 'sales_data csv (2)' query in the workbook." type="5" refreshedVersion="8" background="1" saveData="1">
    <dbPr connection="Provider=Microsoft.Mashup.OleDb.1;Data Source=$Workbook$;Location=&quot;sales_data csv (2)&quot;;Extended Properties=&quot;&quot;" command="SELECT * FROM [sales_data csv (2)]"/>
  </connection>
  <connection id="3" xr16:uid="{D5DC2341-23CB-4CC9-9AD9-3C8263718D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6CCC469-2B75-462C-B443-B9138EA101ED}" name="WorksheetConnection_Sales_Analysis.xlsx!SalesTable" type="102" refreshedVersion="8" minRefreshableVersion="5">
    <extLst>
      <ext xmlns:x15="http://schemas.microsoft.com/office/spreadsheetml/2010/11/main" uri="{DE250136-89BD-433C-8126-D09CA5730AF9}">
        <x15:connection id="SalesTable" autoDelete="1">
          <x15:rangePr sourceName="_xlcn.WorksheetConnection_Sales_Analysis.xlsxSalesTable1"/>
        </x15:connection>
      </ext>
    </extLst>
  </connection>
</connections>
</file>

<file path=xl/sharedStrings.xml><?xml version="1.0" encoding="utf-8"?>
<sst xmlns="http://schemas.openxmlformats.org/spreadsheetml/2006/main" count="619" uniqueCount="45">
  <si>
    <t>OrderID</t>
  </si>
  <si>
    <t>OrderDate</t>
  </si>
  <si>
    <t>Region</t>
  </si>
  <si>
    <t>SalesRep</t>
  </si>
  <si>
    <t>Product</t>
  </si>
  <si>
    <t>UnitsSold</t>
  </si>
  <si>
    <t>UnitPrice</t>
  </si>
  <si>
    <t>East</t>
  </si>
  <si>
    <t>John</t>
  </si>
  <si>
    <t>Laptop</t>
  </si>
  <si>
    <t>West</t>
  </si>
  <si>
    <t>Sarah</t>
  </si>
  <si>
    <t>Tablet</t>
  </si>
  <si>
    <t>North</t>
  </si>
  <si>
    <t>Alex</t>
  </si>
  <si>
    <t>Phone</t>
  </si>
  <si>
    <t>South</t>
  </si>
  <si>
    <t>Emma</t>
  </si>
  <si>
    <t>Total Sales</t>
  </si>
  <si>
    <t>Month</t>
  </si>
  <si>
    <t>Performance</t>
  </si>
  <si>
    <t>Number of Orders</t>
  </si>
  <si>
    <t>Best Performing Region</t>
  </si>
  <si>
    <t>Average Sale Value</t>
  </si>
  <si>
    <t>January</t>
  </si>
  <si>
    <t>February</t>
  </si>
  <si>
    <t>March</t>
  </si>
  <si>
    <t>April</t>
  </si>
  <si>
    <t>May</t>
  </si>
  <si>
    <t>June</t>
  </si>
  <si>
    <t>July</t>
  </si>
  <si>
    <t>August</t>
  </si>
  <si>
    <t>September</t>
  </si>
  <si>
    <t>October</t>
  </si>
  <si>
    <t>November</t>
  </si>
  <si>
    <t>December</t>
  </si>
  <si>
    <t>Total Revenue</t>
  </si>
  <si>
    <t>Total Orders</t>
  </si>
  <si>
    <t>Avg Order Value</t>
  </si>
  <si>
    <t>High Performance Orders</t>
  </si>
  <si>
    <t xml:space="preserve"> $414,000.00 </t>
  </si>
  <si>
    <t>Row Labels</t>
  </si>
  <si>
    <t>Grand Total</t>
  </si>
  <si>
    <t>Sum of Total Sales</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</si>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</sst>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1009]* #,##0.00_-;\-[$$-1009]* #,##0.00_-;_-[$$-1009]* &quot;-&quot;??_-;_-@_-"/>
  </numFmts>
  <fonts count="4">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1" fillId="0" borderId="0" xfId="0" applyFont="1"/>
    <xf numFmtId="164" fontId="1" fillId="0" borderId="0" xfId="0" applyNumberFormat="1" applyFont="1"/>
    <xf numFmtId="0" fontId="0" fillId="0" borderId="0" xfId="0" applyAlignment="1">
      <alignment vertical="center" wrapText="1"/>
    </xf>
    <xf numFmtId="0" fontId="1" fillId="0" borderId="0" xfId="0" applyFont="1" applyAlignment="1">
      <alignment horizontal="center" vertical="center" wrapText="1"/>
    </xf>
    <xf numFmtId="0" fontId="3"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9">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164" formatCode="_-[$$-1009]* #,##0.00_-;\-[$$-1009]* #,##0.00_-;_-[$$-1009]* &quot;-&quot;??_-;_-@_-"/>
    </dxf>
    <dxf>
      <numFmt numFmtId="164" formatCode="_-[$$-1009]* #,##0.00_-;\-[$$-1009]* #,##0.00_-;_-[$$-1009]* &quot;-&quot;??_-;_-@_-"/>
    </dxf>
    <dxf>
      <numFmt numFmtId="0" formatCode="General"/>
    </dxf>
    <dxf>
      <numFmt numFmtId="0" formatCode="General"/>
    </dxf>
    <dxf>
      <numFmt numFmtId="0" formatCode="General"/>
    </dxf>
    <dxf>
      <numFmt numFmtId="19" formatCode="yyyy/mm/dd"/>
    </dxf>
    <dxf>
      <font>
        <b/>
      </font>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font>
    </dxf>
    <dxf>
      <numFmt numFmtId="0" formatCode="General"/>
    </dxf>
    <dxf>
      <numFmt numFmtId="0" formatCode="General"/>
    </dxf>
    <dxf>
      <numFmt numFmtId="164" formatCode="_-[$$-1009]* #,##0.00_-;\-[$$-1009]* #,##0.00_-;_-[$$-1009]* &quot;-&quot;??_-;_-@_-"/>
    </dxf>
    <dxf>
      <numFmt numFmtId="164" formatCode="_-[$$-1009]* #,##0.00_-;\-[$$-1009]* #,##0.00_-;_-[$$-1009]* &quot;-&quot;??_-;_-@_-"/>
    </dxf>
    <dxf>
      <numFmt numFmtId="0" formatCode="General"/>
    </dxf>
    <dxf>
      <numFmt numFmtId="0" formatCode="General"/>
    </dxf>
    <dxf>
      <numFmt numFmtId="0" formatCode="General"/>
    </dxf>
    <dxf>
      <numFmt numFmtId="19" formatCode="yyyy/mm/dd"/>
    </dxf>
    <dxf>
      <font>
        <b/>
      </font>
    </dxf>
  </dxfs>
  <tableStyles count="1" defaultTableStyle="TableStyleMedium2" defaultPivotStyle="PivotStyleLight16">
    <tableStyle name="Table Style 1" pivot="0" count="0" xr9:uid="{3AD1446A-86E6-4802-AB0C-5CEA0463D7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Summary!$B$1</c:f>
              <c:strCache>
                <c:ptCount val="1"/>
                <c:pt idx="0">
                  <c:v>Total Sales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Summary!$A$2:$A$5</c:f>
              <c:strCache>
                <c:ptCount val="4"/>
                <c:pt idx="0">
                  <c:v>East</c:v>
                </c:pt>
                <c:pt idx="1">
                  <c:v>West</c:v>
                </c:pt>
                <c:pt idx="2">
                  <c:v>North</c:v>
                </c:pt>
                <c:pt idx="3">
                  <c:v>South</c:v>
                </c:pt>
              </c:strCache>
            </c:strRef>
          </c:cat>
          <c:val>
            <c:numRef>
              <c:f>Summary!$B$2:$B$5</c:f>
              <c:numCache>
                <c:formatCode>General</c:formatCode>
                <c:ptCount val="4"/>
                <c:pt idx="0">
                  <c:v>95850</c:v>
                </c:pt>
                <c:pt idx="1">
                  <c:v>111900</c:v>
                </c:pt>
                <c:pt idx="2">
                  <c:v>106400</c:v>
                </c:pt>
                <c:pt idx="3">
                  <c:v>99850</c:v>
                </c:pt>
              </c:numCache>
            </c:numRef>
          </c:val>
          <c:extLst>
            <c:ext xmlns:c16="http://schemas.microsoft.com/office/drawing/2014/chart" uri="{C3380CC4-5D6E-409C-BE32-E72D297353CC}">
              <c16:uniqueId val="{00000000-A09E-460F-90AC-522C07335058}"/>
            </c:ext>
          </c:extLst>
        </c:ser>
        <c:dLbls>
          <c:showLegendKey val="0"/>
          <c:showVal val="0"/>
          <c:showCatName val="0"/>
          <c:showSerName val="0"/>
          <c:showPercent val="0"/>
          <c:showBubbleSize val="0"/>
        </c:dLbls>
        <c:gapWidth val="100"/>
        <c:overlap val="-24"/>
        <c:axId val="138896527"/>
        <c:axId val="138897487"/>
      </c:barChart>
      <c:catAx>
        <c:axId val="13889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897487"/>
        <c:crosses val="autoZero"/>
        <c:auto val="1"/>
        <c:lblAlgn val="ctr"/>
        <c:lblOffset val="100"/>
        <c:noMultiLvlLbl val="0"/>
      </c:catAx>
      <c:valAx>
        <c:axId val="13889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889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Orders by Product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35113091483719572"/>
          <c:y val="0.20763740185581731"/>
          <c:w val="0.33219156713937886"/>
          <c:h val="0.55057017765712901"/>
        </c:manualLayout>
      </c:layout>
      <c:pieChart>
        <c:varyColors val="1"/>
        <c:ser>
          <c:idx val="0"/>
          <c:order val="0"/>
          <c:tx>
            <c:strRef>
              <c:f>Summary!$H$1</c:f>
              <c:strCache>
                <c:ptCount val="1"/>
                <c:pt idx="0">
                  <c:v>Number of Orders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523-441A-8FA2-6FC9D39BF9C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523-441A-8FA2-6FC9D39BF9C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3523-441A-8FA2-6FC9D39BF9CB}"/>
              </c:ext>
            </c:extLst>
          </c:dPt>
          <c:cat>
            <c:strRef>
              <c:f>Summary!$G$2:$G$4</c:f>
              <c:strCache>
                <c:ptCount val="3"/>
                <c:pt idx="0">
                  <c:v>Laptop</c:v>
                </c:pt>
                <c:pt idx="1">
                  <c:v>Phone</c:v>
                </c:pt>
                <c:pt idx="2">
                  <c:v>Tablet</c:v>
                </c:pt>
              </c:strCache>
            </c:strRef>
          </c:cat>
          <c:val>
            <c:numRef>
              <c:f>Summary!$H$2:$H$4</c:f>
              <c:numCache>
                <c:formatCode>General</c:formatCode>
                <c:ptCount val="3"/>
                <c:pt idx="0">
                  <c:v>27</c:v>
                </c:pt>
                <c:pt idx="1">
                  <c:v>27</c:v>
                </c:pt>
                <c:pt idx="2">
                  <c:v>26</c:v>
                </c:pt>
              </c:numCache>
            </c:numRef>
          </c:val>
          <c:extLst>
            <c:ext xmlns:c16="http://schemas.microsoft.com/office/drawing/2014/chart" uri="{C3380CC4-5D6E-409C-BE32-E72D297353CC}">
              <c16:uniqueId val="{00000000-6E98-4163-B59C-571C1236119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Summary!$B$13</c:f>
              <c:strCache>
                <c:ptCount val="1"/>
                <c:pt idx="0">
                  <c:v>Total Sales</c:v>
                </c:pt>
              </c:strCache>
            </c:strRef>
          </c:tx>
          <c:spPr>
            <a:ln w="22225" cap="rnd" cmpd="sng" algn="ctr">
              <a:solidFill>
                <a:schemeClr val="accent1"/>
              </a:solidFill>
              <a:round/>
            </a:ln>
            <a:effectLst/>
          </c:spPr>
          <c:marker>
            <c:symbol val="none"/>
          </c:marker>
          <c:cat>
            <c:strRef>
              <c:f>Summary!$A$14:$A$25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Summary!$B$14:$B$25</c:f>
              <c:numCache>
                <c:formatCode>General</c:formatCode>
                <c:ptCount val="12"/>
                <c:pt idx="0">
                  <c:v>60750</c:v>
                </c:pt>
                <c:pt idx="1">
                  <c:v>57000</c:v>
                </c:pt>
                <c:pt idx="2">
                  <c:v>67350</c:v>
                </c:pt>
                <c:pt idx="3">
                  <c:v>41650</c:v>
                </c:pt>
                <c:pt idx="4">
                  <c:v>41800</c:v>
                </c:pt>
                <c:pt idx="5">
                  <c:v>29250</c:v>
                </c:pt>
                <c:pt idx="6">
                  <c:v>20300</c:v>
                </c:pt>
                <c:pt idx="7">
                  <c:v>24700</c:v>
                </c:pt>
                <c:pt idx="8">
                  <c:v>4000</c:v>
                </c:pt>
                <c:pt idx="9">
                  <c:v>29600</c:v>
                </c:pt>
                <c:pt idx="10">
                  <c:v>20800</c:v>
                </c:pt>
                <c:pt idx="11">
                  <c:v>16800</c:v>
                </c:pt>
              </c:numCache>
            </c:numRef>
          </c:val>
          <c:smooth val="0"/>
          <c:extLst>
            <c:ext xmlns:c16="http://schemas.microsoft.com/office/drawing/2014/chart" uri="{C3380CC4-5D6E-409C-BE32-E72D297353CC}">
              <c16:uniqueId val="{00000000-4195-42D5-86D1-447992C6651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647218688"/>
        <c:axId val="1647220128"/>
      </c:lineChart>
      <c:catAx>
        <c:axId val="16472186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47220128"/>
        <c:crosses val="autoZero"/>
        <c:auto val="1"/>
        <c:lblAlgn val="ctr"/>
        <c:lblOffset val="100"/>
        <c:noMultiLvlLbl val="0"/>
      </c:catAx>
      <c:valAx>
        <c:axId val="1647220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472186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[Sales_Analysis.xlsx]Dashboard!PivotTable6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Dashboard!$A$2:$A$5</c:f>
              <c:strCache>
                <c:ptCount val="3"/>
                <c:pt idx="0">
                  <c:v>Laptop</c:v>
                </c:pt>
                <c:pt idx="1">
                  <c:v>Phone</c:v>
                </c:pt>
                <c:pt idx="2">
                  <c:v>Tablet</c:v>
                </c:pt>
              </c:strCache>
            </c:strRef>
          </c:cat>
          <c:val>
            <c:numRef>
              <c:f>Dashboard!$B$2:$B$5</c:f>
              <c:numCache>
                <c:formatCode>General</c:formatCode>
                <c:ptCount val="3"/>
                <c:pt idx="0">
                  <c:v>142800</c:v>
                </c:pt>
                <c:pt idx="1">
                  <c:v>184800</c:v>
                </c:pt>
                <c:pt idx="2">
                  <c:v>86400</c:v>
                </c:pt>
              </c:numCache>
            </c:numRef>
          </c:val>
          <c:extLst>
            <c:ext xmlns:c16="http://schemas.microsoft.com/office/drawing/2014/chart" uri="{C3380CC4-5D6E-409C-BE32-E72D297353CC}">
              <c16:uniqueId val="{00000000-ADC5-4CC8-8569-2A0DBDDC47BF}"/>
            </c:ext>
          </c:extLst>
        </c:ser>
        <c:dLbls>
          <c:showLegendKey val="0"/>
          <c:showVal val="0"/>
          <c:showCatName val="0"/>
          <c:showSerName val="0"/>
          <c:showPercent val="0"/>
          <c:showBubbleSize val="0"/>
        </c:dLbls>
        <c:gapWidth val="100"/>
        <c:axId val="1163536448"/>
        <c:axId val="1163536928"/>
      </c:barChart>
      <c:catAx>
        <c:axId val="116353644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3536928"/>
        <c:crosses val="autoZero"/>
        <c:auto val="1"/>
        <c:lblAlgn val="ctr"/>
        <c:lblOffset val="100"/>
        <c:noMultiLvlLbl val="0"/>
      </c:catAx>
      <c:valAx>
        <c:axId val="11635369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35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[Sales_Analysis.xlsx]Dashboard!PivotTable5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Dashboard!$B$15</c:f>
              <c:strCache>
                <c:ptCount val="1"/>
                <c:pt idx="0">
                  <c:v>Total</c:v>
                </c:pt>
              </c:strCache>
            </c:strRef>
          </c:tx>
          <c:spPr>
            <a:solidFill>
              <a:schemeClr val="accent1"/>
            </a:solidFill>
            <a:ln>
              <a:noFill/>
            </a:ln>
            <a:effectLst/>
          </c:spPr>
          <c:invertIfNegative val="0"/>
          <c:cat>
            <c:strRef>
              <c:f>Dashboard!$A$16:$A$20</c:f>
              <c:strCache>
                <c:ptCount val="4"/>
                <c:pt idx="0">
                  <c:v>East</c:v>
                </c:pt>
                <c:pt idx="1">
                  <c:v>North</c:v>
                </c:pt>
                <c:pt idx="2">
                  <c:v>South</c:v>
                </c:pt>
                <c:pt idx="3">
                  <c:v>West</c:v>
                </c:pt>
              </c:strCache>
            </c:strRef>
          </c:cat>
          <c:val>
            <c:numRef>
              <c:f>Dashboard!$B$16:$B$20</c:f>
              <c:numCache>
                <c:formatCode>General</c:formatCode>
                <c:ptCount val="4"/>
                <c:pt idx="0">
                  <c:v>95850</c:v>
                </c:pt>
                <c:pt idx="1">
                  <c:v>106400</c:v>
                </c:pt>
                <c:pt idx="2">
                  <c:v>99850</c:v>
                </c:pt>
                <c:pt idx="3">
                  <c:v>111900</c:v>
                </c:pt>
              </c:numCache>
            </c:numRef>
          </c:val>
          <c:extLst>
            <c:ext xmlns:c16="http://schemas.microsoft.com/office/drawing/2014/chart" uri="{C3380CC4-5D6E-409C-BE32-E72D297353CC}">
              <c16:uniqueId val="{00000000-3586-45DC-A029-B61645F10124}"/>
            </c:ext>
          </c:extLst>
        </c:ser>
        <c:dLbls>
          <c:showLegendKey val="0"/>
          <c:showVal val="0"/>
          <c:showCatName val="0"/>
          <c:showSerName val="0"/>
          <c:showPercent val="0"/>
          <c:showBubbleSize val="0"/>
        </c:dLbls>
        <c:gapWidth val="219"/>
        <c:overlap val="-27"/>
        <c:axId val="1057195200"/>
        <c:axId val="1057195680"/>
      </c:barChart>
      <c:catAx>
        <c:axId val="10571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95680"/>
        <c:crosses val="autoZero"/>
        <c:auto val="1"/>
        <c:lblAlgn val="ctr"/>
        <c:lblOffset val="100"/>
        <c:noMultiLvlLbl val="0"/>
      </c:catAx>
      <c:valAx>
        <c:axId val="105719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19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[Sales_Analysis.xlsx]Dashboard!PivotTable7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Dashboard!$I$1</c:f>
              <c:strCache>
                <c:ptCount val="1"/>
                <c:pt idx="0">
                  <c:v>Total</c:v>
                </c:pt>
              </c:strCache>
            </c:strRef>
          </c:tx>
          <c:spPr>
            <a:ln w="28575" cap="rnd">
              <a:solidFill>
                <a:schemeClr val="accent1"/>
              </a:solidFill>
              <a:round/>
            </a:ln>
            <a:effectLst/>
          </c:spPr>
          <c:marker>
            <c:symbol val="none"/>
          </c:marker>
          <c:cat>
            <c:strRef>
              <c:f>Dashboard!$H$2:$H$14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Dashboard!$I$2:$I$14</c:f>
              <c:numCache>
                <c:formatCode>General</c:formatCode>
                <c:ptCount val="12"/>
                <c:pt idx="0">
                  <c:v>41650</c:v>
                </c:pt>
                <c:pt idx="1">
                  <c:v>24700</c:v>
                </c:pt>
                <c:pt idx="2">
                  <c:v>16800</c:v>
                </c:pt>
                <c:pt idx="3">
                  <c:v>57000</c:v>
                </c:pt>
                <c:pt idx="4">
                  <c:v>60750</c:v>
                </c:pt>
                <c:pt idx="5">
                  <c:v>20300</c:v>
                </c:pt>
                <c:pt idx="6">
                  <c:v>29250</c:v>
                </c:pt>
                <c:pt idx="7">
                  <c:v>67350</c:v>
                </c:pt>
                <c:pt idx="8">
                  <c:v>41800</c:v>
                </c:pt>
                <c:pt idx="9">
                  <c:v>20800</c:v>
                </c:pt>
                <c:pt idx="10">
                  <c:v>29600</c:v>
                </c:pt>
                <c:pt idx="11">
                  <c:v>4000</c:v>
                </c:pt>
              </c:numCache>
            </c:numRef>
          </c:val>
          <c:smooth val="0"/>
          <c:extLst>
            <c:ext xmlns:c16="http://schemas.microsoft.com/office/drawing/2014/chart" uri="{C3380CC4-5D6E-409C-BE32-E72D297353CC}">
              <c16:uniqueId val="{00000000-746E-4949-8D77-B44D073F6EAA}"/>
            </c:ext>
          </c:extLst>
        </c:ser>
        <c:dLbls>
          <c:showLegendKey val="0"/>
          <c:showVal val="0"/>
          <c:showCatName val="0"/>
          <c:showSerName val="0"/>
          <c:showPercent val="0"/>
          <c:showBubbleSize val="0"/>
        </c:dLbls>
        <c:smooth val="0"/>
        <c:axId val="1150365872"/>
        <c:axId val="1185743920"/>
      </c:lineChart>
      <c:catAx>
        <c:axId val="11503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3920"/>
        <c:crosses val="autoZero"/>
        <c:auto val="1"/>
        <c:lblAlgn val="ctr"/>
        <c:lblOffset val="100"/>
        <c:noMultiLvlLbl val="0"/>
      </c:catAx>
      <c:valAx>
        <c:axId val="118574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36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167640</xdr:colOff>
      <xdr:row>0</xdr:row>
      <xdr:rowOff>80010</xdr:rowOff>
    </xdr:from>
    <xdr:to>
      <xdr:col>5</xdr:col>
      <xdr:colOff>106680</xdr:colOff>
      <xdr:row>9</xdr:row>
      <xdr:rowOff>22860</xdr:rowOff>
    </xdr:to>
    <xdr:graphicFrame macro="">
      <xdr:nvGraphicFramePr>
        <xdr:cNvPr id="2" name="Chart 1">
          <a:extLst>
            <a:ext uri="{FF2B5EF4-FFF2-40B4-BE49-F238E27FC236}">
              <a16:creationId xmlns:a16="http://schemas.microsoft.com/office/drawing/2014/main" id="{DE5B76CB-2B39-0EDF-D658-B9B248551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236220</xdr:colOff>
      <xdr:row>0</xdr:row>
      <xdr:rowOff>87630</xdr:rowOff>
    </xdr:from>
    <xdr:to>
      <xdr:col>12</xdr:col>
      <xdr:colOff>129540</xdr:colOff>
      <xdr:row>10</xdr:row>
      <xdr:rowOff>22860</xdr:rowOff>
    </xdr:to>
    <xdr:graphicFrame macro="">
      <xdr:nvGraphicFramePr>
        <xdr:cNvPr id="3" name="Chart 2">
          <a:extLst>
            <a:ext uri="{FF2B5EF4-FFF2-40B4-BE49-F238E27FC236}">
              <a16:creationId xmlns:a16="http://schemas.microsoft.com/office/drawing/2014/main" id="{6233A111-8EF4-E996-E49A-7D4865259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12</xdr:row>
      <xdr:rowOff>30480</xdr:rowOff>
    </xdr:from>
    <xdr:to>
      <xdr:col>6</xdr:col>
      <xdr:colOff>441960</xdr:colOff>
      <xdr:row>24</xdr:row>
      <xdr:rowOff>129540</xdr:rowOff>
    </xdr:to>
    <xdr:graphicFrame macro="">
      <xdr:nvGraphicFramePr>
        <xdr:cNvPr id="4" name="Chart 3">
          <a:extLst>
            <a:ext uri="{FF2B5EF4-FFF2-40B4-BE49-F238E27FC236}">
              <a16:creationId xmlns:a16="http://schemas.microsoft.com/office/drawing/2014/main" id="{DF6733B9-B75F-2AF5-FFE9-0AD780A97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83820</xdr:colOff>
      <xdr:row>16</xdr:row>
      <xdr:rowOff>53340</xdr:rowOff>
    </xdr:from>
    <xdr:to>
      <xdr:col>13</xdr:col>
      <xdr:colOff>388620</xdr:colOff>
      <xdr:row>19</xdr:row>
      <xdr:rowOff>266699</xdr:rowOff>
    </xdr:to>
    <mc:AlternateContent xmlns:mc="http://schemas.openxmlformats.org/markup-compatibility/2006">
      <mc:Choice xmlns:sle15="http://schemas.microsoft.com/office/drawing/2012/slicer" Requires="sle15">
        <xdr:graphicFrame macro="">
          <xdr:nvGraphicFramePr>
            <xdr:cNvPr id="6" name="Performance">
              <a:extLst>
                <a:ext uri="{FF2B5EF4-FFF2-40B4-BE49-F238E27FC236}">
                  <a16:creationId xmlns:a16="http://schemas.microsoft.com/office/drawing/2014/main" id="{2B6EAB4E-7916-4D67-9AE6-4FC12FFA1083}"/>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9631680" y="2979420"/>
              <a:ext cx="1821180" cy="944879"/>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518160</xdr:colOff>
      <xdr:row>16</xdr:row>
      <xdr:rowOff>53340</xdr:rowOff>
    </xdr:from>
    <xdr:to>
      <xdr:col>16</xdr:col>
      <xdr:colOff>518160</xdr:colOff>
      <xdr:row>19</xdr:row>
      <xdr:rowOff>541020</xdr:rowOff>
    </xdr:to>
    <mc:AlternateContent xmlns:mc="http://schemas.openxmlformats.org/markup-compatibility/2006">
      <mc:Choice xmlns:sle15="http://schemas.microsoft.com/office/drawing/2012/slicer" Requires="sle15">
        <xdr:graphicFrame macro="">
          <xdr:nvGraphicFramePr>
            <xdr:cNvPr id="7" name="Product">
              <a:extLst>
                <a:ext uri="{FF2B5EF4-FFF2-40B4-BE49-F238E27FC236}">
                  <a16:creationId xmlns:a16="http://schemas.microsoft.com/office/drawing/2014/main" id="{4CEDB56F-2898-4E3E-B023-D9C778204F8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582400" y="2979420"/>
              <a:ext cx="1828800" cy="12192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266700</xdr:colOff>
      <xdr:row>16</xdr:row>
      <xdr:rowOff>53340</xdr:rowOff>
    </xdr:from>
    <xdr:to>
      <xdr:col>10</xdr:col>
      <xdr:colOff>1485900</xdr:colOff>
      <xdr:row>21</xdr:row>
      <xdr:rowOff>106680</xdr:rowOff>
    </xdr:to>
    <mc:AlternateContent xmlns:mc="http://schemas.openxmlformats.org/markup-compatibility/2006">
      <mc:Choice xmlns:sle15="http://schemas.microsoft.com/office/drawing/2012/slicer" Requires="sle15">
        <xdr:graphicFrame macro="">
          <xdr:nvGraphicFramePr>
            <xdr:cNvPr id="8" name="Region">
              <a:extLst>
                <a:ext uri="{FF2B5EF4-FFF2-40B4-BE49-F238E27FC236}">
                  <a16:creationId xmlns:a16="http://schemas.microsoft.com/office/drawing/2014/main" id="{1CFEEE38-9631-416E-97D3-F1FBBEB9C2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711440" y="2979420"/>
              <a:ext cx="1828800" cy="151638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121920</xdr:colOff>
      <xdr:row>0</xdr:row>
      <xdr:rowOff>68580</xdr:rowOff>
    </xdr:from>
    <xdr:to>
      <xdr:col>5</xdr:col>
      <xdr:colOff>441960</xdr:colOff>
      <xdr:row>11</xdr:row>
      <xdr:rowOff>45720</xdr:rowOff>
    </xdr:to>
    <xdr:graphicFrame macro="">
      <xdr:nvGraphicFramePr>
        <xdr:cNvPr id="9" name="Chart 8">
          <a:extLst>
            <a:ext uri="{FF2B5EF4-FFF2-40B4-BE49-F238E27FC236}">
              <a16:creationId xmlns:a16="http://schemas.microsoft.com/office/drawing/2014/main" id="{8E615CC1-2C33-18C1-0E36-0DB0F2204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12</xdr:row>
      <xdr:rowOff>60960</xdr:rowOff>
    </xdr:from>
    <xdr:to>
      <xdr:col>6</xdr:col>
      <xdr:colOff>457200</xdr:colOff>
      <xdr:row>23</xdr:row>
      <xdr:rowOff>179070</xdr:rowOff>
    </xdr:to>
    <xdr:graphicFrame macro="">
      <xdr:nvGraphicFramePr>
        <xdr:cNvPr id="10" name="Chart 9">
          <a:extLst>
            <a:ext uri="{FF2B5EF4-FFF2-40B4-BE49-F238E27FC236}">
              <a16:creationId xmlns:a16="http://schemas.microsoft.com/office/drawing/2014/main" id="{D6CCC6B8-7C39-B75D-31C2-2E4515B29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0</xdr:row>
      <xdr:rowOff>72390</xdr:rowOff>
    </xdr:from>
    <xdr:to>
      <xdr:col>14</xdr:col>
      <xdr:colOff>563880</xdr:colOff>
      <xdr:row>15</xdr:row>
      <xdr:rowOff>72390</xdr:rowOff>
    </xdr:to>
    <xdr:graphicFrame macro="">
      <xdr:nvGraphicFramePr>
        <xdr:cNvPr id="11" name="Chart 10">
          <a:extLst>
            <a:ext uri="{FF2B5EF4-FFF2-40B4-BE49-F238E27FC236}">
              <a16:creationId xmlns:a16="http://schemas.microsoft.com/office/drawing/2014/main" id="{F5DDF9BA-15C5-4B9C-3FF5-EFB6973FC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uni Malsha" refreshedDate="46063.002330208335" backgroundQuery="1" createdVersion="8" refreshedVersion="8" minRefreshableVersion="3" recordCount="0" supportSubquery="1" supportAdvancedDrill="1" xr:uid="{8B28BA3B-0E4E-461F-B496-D11A689FA346}">
  <cacheSource type="external" connectionId="3"/>
  <cacheFields count="2">
    <cacheField name="[SalesTable].[Region].[Region]" caption="Region" numFmtId="0" hierarchy="2" level="1">
      <sharedItems count="4">
        <s v="East"/>
        <s v="North"/>
        <s v="South"/>
        <s v="West"/>
      </sharedItems>
    </cacheField>
    <cacheField name="[Measures].[Sum of Total Sales]" caption="Sum of Total Sales" numFmtId="0" hierarchy="12" level="32767"/>
  </cacheFields>
  <cacheHierarchies count="13">
    <cacheHierarchy uniqueName="[SalesTable].[OrderID]" caption="OrderID" attribute="1" defaultMemberUniqueName="[SalesTable].[OrderID].[All]" allUniqueName="[SalesTable].[OrderID].[All]" dimensionUniqueName="[SalesTable]" displayFolder="" count="0" memberValueDatatype="20" unbalanced="0"/>
    <cacheHierarchy uniqueName="[SalesTable].[OrderDate]" caption="OrderDate" attribute="1" time="1" defaultMemberUniqueName="[SalesTable].[OrderDate].[All]" allUniqueName="[SalesTable].[OrderDate].[All]" dimensionUniqueName="[SalesTable]" displayFolder="" count="0" memberValueDatatype="7" unbalanced="0"/>
    <cacheHierarchy uniqueName="[SalesTable].[Region]" caption="Region" attribute="1" defaultMemberUniqueName="[SalesTable].[Region].[All]" allUniqueName="[SalesTable].[Region].[All]" dimensionUniqueName="[SalesTable]" displayFolder="" count="2" memberValueDatatype="130" unbalanced="0">
      <fieldsUsage count="2">
        <fieldUsage x="-1"/>
        <fieldUsage x="0"/>
      </fieldsUsage>
    </cacheHierarchy>
    <cacheHierarchy uniqueName="[SalesTable].[SalesRep]" caption="SalesRep" attribute="1" defaultMemberUniqueName="[SalesTable].[SalesRep].[All]" allUniqueName="[SalesTable].[SalesRep].[All]" dimensionUniqueName="[SalesTable]" displayFolder="" count="0" memberValueDatatype="130" unbalanced="0"/>
    <cacheHierarchy uniqueName="[SalesTable].[Product]" caption="Product" attribute="1" defaultMemberUniqueName="[SalesTable].[Product].[All]" allUniqueName="[SalesTable].[Product].[All]" dimensionUniqueName="[SalesTable]" displayFolder="" count="0" memberValueDatatype="130" unbalanced="0"/>
    <cacheHierarchy uniqueName="[SalesTable].[UnitsSold]" caption="UnitsSold" attribute="1" defaultMemberUniqueName="[SalesTable].[UnitsSold].[All]" allUniqueName="[SalesTable].[UnitsSold].[All]" dimensionUniqueName="[SalesTable]" displayFolder="" count="0" memberValueDatatype="20" unbalanced="0"/>
    <cacheHierarchy uniqueName="[SalesTable].[UnitPrice]" caption="UnitPrice" attribute="1" defaultMemberUniqueName="[SalesTable].[UnitPrice].[All]" allUniqueName="[SalesTable].[Unit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Month]" caption="Month" attribute="1" defaultMemberUniqueName="[SalesTable].[Month].[All]" allUniqueName="[SalesTable].[Month].[All]" dimensionUniqueName="[SalesTable]" displayFolder="" count="0" memberValueDatatype="130" unbalanced="0"/>
    <cacheHierarchy uniqueName="[SalesTable].[Performance]" caption="Performance" attribute="1" defaultMemberUniqueName="[SalesTable].[Performance].[All]" allUniqueName="[SalesTable].[Performance].[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uni Malsha" refreshedDate="46063.003861458332" backgroundQuery="1" createdVersion="8" refreshedVersion="8" minRefreshableVersion="3" recordCount="0" supportSubquery="1" supportAdvancedDrill="1" xr:uid="{2A979989-DB6D-4D31-B82E-CFA7AA830A83}">
  <cacheSource type="external" connectionId="3"/>
  <cacheFields count="2">
    <cacheField name="[SalesTable].[Product].[Product]" caption="Product" numFmtId="0" hierarchy="4" level="1">
      <sharedItems count="3">
        <s v="Laptop"/>
        <s v="Phone"/>
        <s v="Tablet"/>
      </sharedItems>
    </cacheField>
    <cacheField name="[Measures].[Sum of Total Sales]" caption="Sum of Total Sales" numFmtId="0" hierarchy="12" level="32767"/>
  </cacheFields>
  <cacheHierarchies count="13">
    <cacheHierarchy uniqueName="[SalesTable].[OrderID]" caption="OrderID" attribute="1" defaultMemberUniqueName="[SalesTable].[OrderID].[All]" allUniqueName="[SalesTable].[OrderID].[All]" dimensionUniqueName="[SalesTable]" displayFolder="" count="0" memberValueDatatype="20" unbalanced="0"/>
    <cacheHierarchy uniqueName="[SalesTable].[OrderDate]" caption="OrderDate" attribute="1" time="1" defaultMemberUniqueName="[SalesTable].[OrderDate].[All]" allUniqueName="[SalesTable].[OrderDate].[All]" dimensionUniqueName="[SalesTable]" displayFolder="" count="0" memberValueDatatype="7" unbalanced="0"/>
    <cacheHierarchy uniqueName="[SalesTable].[Region]" caption="Region" attribute="1" defaultMemberUniqueName="[SalesTable].[Region].[All]" allUniqueName="[SalesTable].[Region].[All]" dimensionUniqueName="[SalesTable]" displayFolder="" count="2" memberValueDatatype="130" unbalanced="0"/>
    <cacheHierarchy uniqueName="[SalesTable].[SalesRep]" caption="SalesRep" attribute="1" defaultMemberUniqueName="[SalesTable].[SalesRep].[All]" allUniqueName="[SalesTable].[SalesRep].[All]" dimensionUniqueName="[SalesTable]" displayFolder="" count="0" memberValueDatatype="130" unbalanced="0"/>
    <cacheHierarchy uniqueName="[SalesTable].[Product]" caption="Product" attribute="1" defaultMemberUniqueName="[SalesTable].[Product].[All]" allUniqueName="[SalesTable].[Product].[All]" dimensionUniqueName="[SalesTable]" displayFolder="" count="2" memberValueDatatype="130" unbalanced="0">
      <fieldsUsage count="2">
        <fieldUsage x="-1"/>
        <fieldUsage x="0"/>
      </fieldsUsage>
    </cacheHierarchy>
    <cacheHierarchy uniqueName="[SalesTable].[UnitsSold]" caption="UnitsSold" attribute="1" defaultMemberUniqueName="[SalesTable].[UnitsSold].[All]" allUniqueName="[SalesTable].[UnitsSold].[All]" dimensionUniqueName="[SalesTable]" displayFolder="" count="0" memberValueDatatype="20" unbalanced="0"/>
    <cacheHierarchy uniqueName="[SalesTable].[UnitPrice]" caption="UnitPrice" attribute="1" defaultMemberUniqueName="[SalesTable].[UnitPrice].[All]" allUniqueName="[SalesTable].[Unit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Month]" caption="Month" attribute="1" defaultMemberUniqueName="[SalesTable].[Month].[All]" allUniqueName="[SalesTable].[Month].[All]" dimensionUniqueName="[SalesTable]" displayFolder="" count="0" memberValueDatatype="130" unbalanced="0"/>
    <cacheHierarchy uniqueName="[SalesTable].[Performance]" caption="Performance" attribute="1" defaultMemberUniqueName="[SalesTable].[Performance].[All]" allUniqueName="[SalesTable].[Performance].[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uni Malsha" refreshedDate="46063.004146064814" backgroundQuery="1" createdVersion="8" refreshedVersion="8" minRefreshableVersion="3" recordCount="0" supportSubquery="1" supportAdvancedDrill="1" xr:uid="{99C1FA37-C09C-4E2F-A946-755405942782}">
  <cacheSource type="external" connectionId="3"/>
  <cacheFields count="2">
    <cacheField name="[Measures].[Sum of Total Sales]" caption="Sum of Total Sales" numFmtId="0" hierarchy="12" level="32767"/>
    <cacheField name="[SalesTable].[Month].[Month]" caption="Month" numFmtId="0" hierarchy="8" level="1">
      <sharedItems count="12">
        <s v="April"/>
        <s v="August"/>
        <s v="December"/>
        <s v="February"/>
        <s v="January"/>
        <s v="July"/>
        <s v="June"/>
        <s v="March"/>
        <s v="May"/>
        <s v="November"/>
        <s v="October"/>
        <s v="September"/>
      </sharedItems>
    </cacheField>
  </cacheFields>
  <cacheHierarchies count="13">
    <cacheHierarchy uniqueName="[SalesTable].[OrderID]" caption="OrderID" attribute="1" defaultMemberUniqueName="[SalesTable].[OrderID].[All]" allUniqueName="[SalesTable].[OrderID].[All]" dimensionUniqueName="[SalesTable]" displayFolder="" count="0" memberValueDatatype="20" unbalanced="0"/>
    <cacheHierarchy uniqueName="[SalesTable].[OrderDate]" caption="OrderDate" attribute="1" time="1" defaultMemberUniqueName="[SalesTable].[OrderDate].[All]" allUniqueName="[SalesTable].[OrderDate].[All]" dimensionUniqueName="[SalesTable]" displayFolder="" count="0" memberValueDatatype="7" unbalanced="0"/>
    <cacheHierarchy uniqueName="[SalesTable].[Region]" caption="Region" attribute="1" defaultMemberUniqueName="[SalesTable].[Region].[All]" allUniqueName="[SalesTable].[Region].[All]" dimensionUniqueName="[SalesTable]" displayFolder="" count="2" memberValueDatatype="130" unbalanced="0"/>
    <cacheHierarchy uniqueName="[SalesTable].[SalesRep]" caption="SalesRep" attribute="1" defaultMemberUniqueName="[SalesTable].[SalesRep].[All]" allUniqueName="[SalesTable].[SalesRep].[All]" dimensionUniqueName="[SalesTable]" displayFolder="" count="0" memberValueDatatype="130" unbalanced="0"/>
    <cacheHierarchy uniqueName="[SalesTable].[Product]" caption="Product" attribute="1" defaultMemberUniqueName="[SalesTable].[Product].[All]" allUniqueName="[SalesTable].[Product].[All]" dimensionUniqueName="[SalesTable]" displayFolder="" count="2" memberValueDatatype="130" unbalanced="0"/>
    <cacheHierarchy uniqueName="[SalesTable].[UnitsSold]" caption="UnitsSold" attribute="1" defaultMemberUniqueName="[SalesTable].[UnitsSold].[All]" allUniqueName="[SalesTable].[UnitsSold].[All]" dimensionUniqueName="[SalesTable]" displayFolder="" count="0" memberValueDatatype="20" unbalanced="0"/>
    <cacheHierarchy uniqueName="[SalesTable].[UnitPrice]" caption="UnitPrice" attribute="1" defaultMemberUniqueName="[SalesTable].[UnitPrice].[All]" allUniqueName="[SalesTable].[Unit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Month]" caption="Month" attribute="1" defaultMemberUniqueName="[SalesTable].[Month].[All]" allUniqueName="[SalesTable].[Month].[All]" dimensionUniqueName="[SalesTable]" displayFolder="" count="2" memberValueDatatype="130" unbalanced="0">
      <fieldsUsage count="2">
        <fieldUsage x="-1"/>
        <fieldUsage x="1"/>
      </fieldsUsage>
    </cacheHierarchy>
    <cacheHierarchy uniqueName="[SalesTable].[Performance]" caption="Performance" attribute="1" defaultMemberUniqueName="[SalesTable].[Performance].[All]" allUniqueName="[SalesTable].[Performance].[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runi Malsha" refreshedDate="46063.004146064814" backgroundQuery="1" createdVersion="8" refreshedVersion="8" minRefreshableVersion="3" recordCount="0" supportSubquery="1" supportAdvancedDrill="1" xr:uid="{56B1CD9F-0275-4AEA-A302-6699F91D5E28}">
  <cacheSource type="external" connectionId="3"/>
  <cacheFields count="2">
    <cacheField name="[Measures].[Sum of Total Sales]" caption="Sum of Total Sales" numFmtId="0" hierarchy="12" level="32767"/>
    <cacheField name="[SalesTable].[Month].[Month]" caption="Month" numFmtId="0" hierarchy="8" level="1">
      <sharedItems count="12">
        <s v="April"/>
        <s v="August"/>
        <s v="December"/>
        <s v="February"/>
        <s v="January"/>
        <s v="July"/>
        <s v="June"/>
        <s v="March"/>
        <s v="May"/>
        <s v="November"/>
        <s v="October"/>
        <s v="September"/>
      </sharedItems>
    </cacheField>
  </cacheFields>
  <cacheHierarchies count="13">
    <cacheHierarchy uniqueName="[SalesTable].[OrderID]" caption="OrderID" attribute="1" defaultMemberUniqueName="[SalesTable].[OrderID].[All]" allUniqueName="[SalesTable].[OrderID].[All]" dimensionUniqueName="[SalesTable]" displayFolder="" count="0" memberValueDatatype="20" unbalanced="0"/>
    <cacheHierarchy uniqueName="[SalesTable].[OrderDate]" caption="OrderDate" attribute="1" time="1" defaultMemberUniqueName="[SalesTable].[OrderDate].[All]" allUniqueName="[SalesTable].[OrderDate].[All]" dimensionUniqueName="[SalesTable]" displayFolder="" count="0" memberValueDatatype="7" unbalanced="0"/>
    <cacheHierarchy uniqueName="[SalesTable].[Region]" caption="Region" attribute="1" defaultMemberUniqueName="[SalesTable].[Region].[All]" allUniqueName="[SalesTable].[Region].[All]" dimensionUniqueName="[SalesTable]" displayFolder="" count="2" memberValueDatatype="130" unbalanced="0"/>
    <cacheHierarchy uniqueName="[SalesTable].[SalesRep]" caption="SalesRep" attribute="1" defaultMemberUniqueName="[SalesTable].[SalesRep].[All]" allUniqueName="[SalesTable].[SalesRep].[All]" dimensionUniqueName="[SalesTable]" displayFolder="" count="0" memberValueDatatype="130" unbalanced="0"/>
    <cacheHierarchy uniqueName="[SalesTable].[Product]" caption="Product" attribute="1" defaultMemberUniqueName="[SalesTable].[Product].[All]" allUniqueName="[SalesTable].[Product].[All]" dimensionUniqueName="[SalesTable]" displayFolder="" count="2" memberValueDatatype="130" unbalanced="0"/>
    <cacheHierarchy uniqueName="[SalesTable].[UnitsSold]" caption="UnitsSold" attribute="1" defaultMemberUniqueName="[SalesTable].[UnitsSold].[All]" allUniqueName="[SalesTable].[UnitsSold].[All]" dimensionUniqueName="[SalesTable]" displayFolder="" count="0" memberValueDatatype="20" unbalanced="0"/>
    <cacheHierarchy uniqueName="[SalesTable].[UnitPrice]" caption="UnitPrice" attribute="1" defaultMemberUniqueName="[SalesTable].[UnitPrice].[All]" allUniqueName="[SalesTable].[UnitPrice].[All]" dimensionUniqueName="[SalesTable]" displayFolder="" count="0" memberValueDatatype="20" unbalanced="0"/>
    <cacheHierarchy uniqueName="[SalesTable].[Total Sales]" caption="Total Sales" attribute="1" defaultMemberUniqueName="[SalesTable].[Total Sales].[All]" allUniqueName="[SalesTable].[Total Sales].[All]" dimensionUniqueName="[SalesTable]" displayFolder="" count="0" memberValueDatatype="20" unbalanced="0"/>
    <cacheHierarchy uniqueName="[SalesTable].[Month]" caption="Month" attribute="1" defaultMemberUniqueName="[SalesTable].[Month].[All]" allUniqueName="[SalesTable].[Month].[All]" dimensionUniqueName="[SalesTable]" displayFolder="" count="2" memberValueDatatype="130" unbalanced="0">
      <fieldsUsage count="2">
        <fieldUsage x="-1"/>
        <fieldUsage x="1"/>
      </fieldsUsage>
    </cacheHierarchy>
    <cacheHierarchy uniqueName="[SalesTable].[Performance]" caption="Performance" attribute="1" defaultMemberUniqueName="[SalesTable].[Performance].[All]" allUniqueName="[SalesTable].[Performance].[All]" dimensionUniqueName="[SalesTable]" displayFolder="" count="0" memberValueDatatype="13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Total Sales]" caption="Sum of Total Sales" measure="1" displayFolder="" measureGroup="SalesTable"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01177-80C1-483D-A760-AFE8A332928E}"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55622F-7A14-4B15-99D1-4BC934BC9A8E}"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I1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chartFormats count="1">
    <chartFormat chart="2"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23"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0E4A19-E7DA-4236-9D1C-0F7DFBCE5A10}"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 Sales" fld="1" baseField="0" baseItem="0"/>
  </dataFields>
  <chartFormats count="1">
    <chartFormat chart="3"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23"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C99FF-5E57-4831-B903-E420DA87BC88}"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5:B2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 Sales"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Medium23"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sis.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B6EF39-BE2B-45AA-A43E-60F8FA14F93D}" autoFormatId="16" applyNumberFormats="0" applyBorderFormats="0" applyFontFormats="0" applyPatternFormats="0" applyAlignmentFormats="0" applyWidthHeightFormats="0">
  <queryTableRefresh nextId="11" unboundColumnsRight="3">
    <queryTableFields count="10">
      <queryTableField id="1" name="OrderID" tableColumnId="1"/>
      <queryTableField id="2" name="OrderDate" tableColumnId="2"/>
      <queryTableField id="3" name="Region" tableColumnId="3"/>
      <queryTableField id="4" name="SalesRep" tableColumnId="4"/>
      <queryTableField id="5" name="Product" tableColumnId="5"/>
      <queryTableField id="6" name="UnitsSold" tableColumnId="6"/>
      <queryTableField id="7" name="UnitPrice"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FA1D7BA-3F4C-4020-A127-A002B379F556}" autoFormatId="16" applyNumberFormats="0" applyBorderFormats="0" applyFontFormats="0" applyPatternFormats="0" applyAlignmentFormats="0" applyWidthHeightFormats="0">
  <queryTableRefresh nextId="11" unboundColumnsRight="3">
    <queryTableFields count="10">
      <queryTableField id="1" name="OrderID" tableColumnId="1"/>
      <queryTableField id="2" name="OrderDate" tableColumnId="2"/>
      <queryTableField id="3" name="Region" tableColumnId="3"/>
      <queryTableField id="4" name="SalesRep" tableColumnId="4"/>
      <queryTableField id="5" name="Product" tableColumnId="5"/>
      <queryTableField id="6" name="UnitsSold" tableColumnId="6"/>
      <queryTableField id="7" name="UnitPrice"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03D9B39C-7071-4CD4-A27C-85317BC6D120}" sourceName="Performance">
  <extLst>
    <x:ext xmlns:x15="http://schemas.microsoft.com/office/spreadsheetml/2010/11/main" uri="{2F2917AC-EB37-4324-AD4E-5DD8C200BD13}">
      <x15:tableSlicerCache tableId="1" column="1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F17F34-D96F-4FC4-A191-E0EAC16DD4F6}" sourceName="Product">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4F58CE-44AC-4399-9926-DEC2C3195D28}" sourceName="Reg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xr10:uid="{B8057C66-6ACF-4CE6-BC31-F722664851C3}" cache="Slicer_Performance" caption="Performance" rowHeight="247650"/>
  <slicer name="Product" xr10:uid="{42441366-FC88-4FDD-94CC-39E56AFEDB94}" cache="Slicer_Product" caption="Product" rowHeight="247650"/>
  <slicer name="Region" xr10:uid="{D850A343-BC6D-4E7F-BC0E-F2558F680E65}"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DF96DC-D4D6-4FEF-AFA2-90E618DA6F4D}" name="SalesTable" displayName="SalesTable" ref="A1:J81" tableType="queryTable" totalsRowShown="0" headerRowDxfId="28">
  <autoFilter ref="A1:J81" xr:uid="{63DF96DC-D4D6-4FEF-AFA2-90E618DA6F4D}"/>
  <sortState xmlns:xlrd2="http://schemas.microsoft.com/office/spreadsheetml/2017/richdata2" ref="A2:J81">
    <sortCondition descending="1" ref="H2:H81"/>
  </sortState>
  <tableColumns count="10">
    <tableColumn id="1" xr3:uid="{9671C7E0-B0E0-48DE-92A0-E2ECAD66F898}" uniqueName="1" name="OrderID" queryTableFieldId="1"/>
    <tableColumn id="2" xr3:uid="{1556A56A-9092-43B2-81AF-6F4C915147E2}" uniqueName="2" name="OrderDate" queryTableFieldId="2" dataDxfId="27"/>
    <tableColumn id="3" xr3:uid="{77AE6FD3-346C-4D67-8AB5-6712FAA00531}" uniqueName="3" name="Region" queryTableFieldId="3" dataDxfId="26"/>
    <tableColumn id="4" xr3:uid="{D4777683-D0F8-4EFC-9D90-EFDD82DCD307}" uniqueName="4" name="SalesRep" queryTableFieldId="4" dataDxfId="25"/>
    <tableColumn id="5" xr3:uid="{E0A8CAEB-D14F-4318-A1FE-7D06FA429CF3}" uniqueName="5" name="Product" queryTableFieldId="5" dataDxfId="24"/>
    <tableColumn id="6" xr3:uid="{E0F8490E-119D-46B4-A1AC-C39C5146C76E}" uniqueName="6" name="UnitsSold" queryTableFieldId="6"/>
    <tableColumn id="7" xr3:uid="{AFB3D25C-B9CD-4E6F-B6FE-0AA9C5627678}" uniqueName="7" name="UnitPrice" queryTableFieldId="7" dataDxfId="23"/>
    <tableColumn id="8" xr3:uid="{CAC1D2AD-9704-4CEA-9AF9-BCAC05256EB1}" uniqueName="8" name="Total Sales" queryTableFieldId="8" dataDxfId="22">
      <calculatedColumnFormula>SalesTable[[#This Row],[UnitsSold]]*SalesTable[[#This Row],[UnitPrice]]</calculatedColumnFormula>
    </tableColumn>
    <tableColumn id="9" xr3:uid="{C74F4D76-85AC-4788-96A9-59C4313B08EB}" uniqueName="9" name="Month" queryTableFieldId="9" dataDxfId="21">
      <calculatedColumnFormula>TEXT(SalesTable[[#This Row],[OrderDate]],"mmmm")</calculatedColumnFormula>
    </tableColumn>
    <tableColumn id="10" xr3:uid="{952E662F-BCD8-452C-9C8C-317C083D694F}" uniqueName="10" name="Performance" queryTableFieldId="10" dataDxfId="20">
      <calculatedColumnFormula>IF(SalesTable[[#This Row],[UnitsSold]]&gt;=8,"High","Low")</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0D3088-8185-4638-8CB4-D16E474A334A}" name="sales_by_region" displayName="sales_by_region" ref="A1:B5" totalsRowShown="0" headerRowDxfId="19" dataDxfId="18">
  <autoFilter ref="A1:B5" xr:uid="{D50D3088-8185-4638-8CB4-D16E474A334A}"/>
  <tableColumns count="2">
    <tableColumn id="1" xr3:uid="{95AA5160-19CE-4A14-AE70-731EB627D96B}" name="Region" dataDxfId="17"/>
    <tableColumn id="2" xr3:uid="{107E8F2B-9DA2-4690-A334-E1819E06D005}" name="Total Sales" dataDxfId="16">
      <calculatedColumnFormula>SUMIFS(SalesTable[Total Sales],SalesTable[Region],A2)</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DE647E-6ACC-4AF3-86AC-E77ABF9FBC83}" name="Orders_by_Product" displayName="Orders_by_Product" ref="G1:H4" totalsRowShown="0" headerRowDxfId="15" dataDxfId="14">
  <autoFilter ref="G1:H4" xr:uid="{F7DE647E-6ACC-4AF3-86AC-E77ABF9FBC83}"/>
  <tableColumns count="2">
    <tableColumn id="1" xr3:uid="{EA32F449-CFD5-43A6-B4C5-FF3867E1EE8C}" name="Product" dataDxfId="13"/>
    <tableColumn id="2" xr3:uid="{0CCD92E7-0851-43B9-B100-F04450004DDA}" name="Number of Orders" dataDxfId="12">
      <calculatedColumnFormula>COUNTIFS(SalesTable[Product],G2)</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BAC4F7-3901-4A34-902C-9212BA6E659F}" name="Table5" displayName="Table5" ref="A13:B25" totalsRowShown="0" headerRowDxfId="11">
  <autoFilter ref="A13:B25" xr:uid="{4BBAC4F7-3901-4A34-902C-9212BA6E659F}"/>
  <tableColumns count="2">
    <tableColumn id="1" xr3:uid="{8F664939-8645-4EC7-A184-4E71D3417819}" name="Month"/>
    <tableColumn id="2" xr3:uid="{D08B5B8A-037E-4A65-BBB0-B918E04BA0F7}" name="Total Sales">
      <calculatedColumnFormula>SUMIFS(SalesTable[Total Sales],SalesTable[Month],A14)</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E936EF-E7B4-490D-BB47-6E935206B4D4}" name="SalesTable5" displayName="SalesTable5" ref="A1:J81" tableType="queryTable" totalsRowShown="0" headerRowDxfId="10">
  <sortState xmlns:xlrd2="http://schemas.microsoft.com/office/spreadsheetml/2017/richdata2" ref="A2:J81">
    <sortCondition descending="1" ref="H2:H81"/>
  </sortState>
  <tableColumns count="10">
    <tableColumn id="1" xr3:uid="{FC8BAA3D-8BA0-480F-A131-686FC41E5A56}" uniqueName="1" name="OrderID" queryTableFieldId="1"/>
    <tableColumn id="2" xr3:uid="{5D5A021A-881F-4105-97D2-537534C03528}" uniqueName="2" name="OrderDate" queryTableFieldId="2" dataDxfId="9"/>
    <tableColumn id="3" xr3:uid="{E6FF5EF4-154E-440A-AC9D-AD40501AA9A8}" uniqueName="3" name="Region" queryTableFieldId="3" dataDxfId="8"/>
    <tableColumn id="4" xr3:uid="{FACA061B-2F9E-45FB-913E-B89AE2F86824}" uniqueName="4" name="SalesRep" queryTableFieldId="4" dataDxfId="7"/>
    <tableColumn id="5" xr3:uid="{F4DE68D0-AE26-4366-A775-2C630B8A83AB}" uniqueName="5" name="Product" queryTableFieldId="5" dataDxfId="6"/>
    <tableColumn id="6" xr3:uid="{4C0381F4-FE2C-4FD6-BAAB-590E19E2F952}" uniqueName="6" name="UnitsSold" queryTableFieldId="6"/>
    <tableColumn id="7" xr3:uid="{907373A1-3D58-4B18-900F-CD2EDF5AAA33}" uniqueName="7" name="UnitPrice" queryTableFieldId="7" dataDxfId="5"/>
    <tableColumn id="8" xr3:uid="{5958AB99-7F8F-48C8-859A-73E611876DCC}" uniqueName="8" name="Total Sales" queryTableFieldId="8" dataDxfId="4">
      <calculatedColumnFormula>SalesTable5[[#This Row],[UnitsSold]]*SalesTable5[[#This Row],[UnitPrice]]</calculatedColumnFormula>
    </tableColumn>
    <tableColumn id="9" xr3:uid="{57FD8161-47D5-4ED2-B2EA-F6D7F1DB78D6}" uniqueName="9" name="Month" queryTableFieldId="9" dataDxfId="3">
      <calculatedColumnFormula>TEXT(SalesTable5[[#This Row],[OrderDate]],"mmmm")</calculatedColumnFormula>
    </tableColumn>
    <tableColumn id="10" xr3:uid="{6D0F6A1C-3F96-49A0-8C7A-FE4CFCCC8F7F}" uniqueName="10" name="Performance" queryTableFieldId="10" dataDxfId="2">
      <calculatedColumnFormula>IF(SalesTable5[[#This Row],[UnitsSold]]&gt;=8,"High","Low")</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AAF17B-EE7E-4D62-BA7E-6EDC4491D4B3}" name="Table8" displayName="Table8" ref="H17:I20" totalsRowShown="0">
  <autoFilter ref="H17:I20" xr:uid="{4BAAF17B-EE7E-4D62-BA7E-6EDC4491D4B3}">
    <filterColumn colId="0" hiddenButton="1"/>
    <filterColumn colId="1" hiddenButton="1"/>
  </autoFilter>
  <tableColumns count="2">
    <tableColumn id="1" xr3:uid="{CDEBC129-129A-4EAD-8FDD-7DAE9BAD3C03}" name="Total Revenue" dataDxfId="1"/>
    <tableColumn id="2" xr3:uid="{F3F24428-67FA-4D79-808E-8AF5362E1BF2}" name=" $414,000.00 " dataDxfId="0"/>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05497-B69E-4ACB-9F94-772E5020F5C4}">
  <dimension ref="A3:B16"/>
  <sheetViews>
    <sheetView workbookViewId="0">
      <selection activeCell="A3" sqref="A3:B16"/>
    </sheetView>
  </sheetViews>
  <sheetFormatPr defaultRowHeight="14.4"/>
  <cols>
    <col min="1" max="1" width="12.44140625" bestFit="1" customWidth="1"/>
    <col min="2" max="2" width="16.109375" bestFit="1" customWidth="1"/>
  </cols>
  <sheetData>
    <row r="3" spans="1:2">
      <c r="A3" s="8" t="s">
        <v>41</v>
      </c>
      <c r="B3" t="s">
        <v>43</v>
      </c>
    </row>
    <row r="4" spans="1:2">
      <c r="A4" s="9" t="s">
        <v>27</v>
      </c>
      <c r="B4" s="10">
        <v>41650</v>
      </c>
    </row>
    <row r="5" spans="1:2">
      <c r="A5" s="9" t="s">
        <v>31</v>
      </c>
      <c r="B5" s="10">
        <v>24700</v>
      </c>
    </row>
    <row r="6" spans="1:2">
      <c r="A6" s="9" t="s">
        <v>35</v>
      </c>
      <c r="B6" s="10">
        <v>16800</v>
      </c>
    </row>
    <row r="7" spans="1:2">
      <c r="A7" s="9" t="s">
        <v>25</v>
      </c>
      <c r="B7" s="10">
        <v>57000</v>
      </c>
    </row>
    <row r="8" spans="1:2">
      <c r="A8" s="9" t="s">
        <v>24</v>
      </c>
      <c r="B8" s="10">
        <v>60750</v>
      </c>
    </row>
    <row r="9" spans="1:2">
      <c r="A9" s="9" t="s">
        <v>30</v>
      </c>
      <c r="B9" s="10">
        <v>20300</v>
      </c>
    </row>
    <row r="10" spans="1:2">
      <c r="A10" s="9" t="s">
        <v>29</v>
      </c>
      <c r="B10" s="10">
        <v>29250</v>
      </c>
    </row>
    <row r="11" spans="1:2">
      <c r="A11" s="9" t="s">
        <v>26</v>
      </c>
      <c r="B11" s="10">
        <v>67350</v>
      </c>
    </row>
    <row r="12" spans="1:2">
      <c r="A12" s="9" t="s">
        <v>28</v>
      </c>
      <c r="B12" s="10">
        <v>41800</v>
      </c>
    </row>
    <row r="13" spans="1:2">
      <c r="A13" s="9" t="s">
        <v>34</v>
      </c>
      <c r="B13" s="10">
        <v>20800</v>
      </c>
    </row>
    <row r="14" spans="1:2">
      <c r="A14" s="9" t="s">
        <v>33</v>
      </c>
      <c r="B14" s="10">
        <v>29600</v>
      </c>
    </row>
    <row r="15" spans="1:2">
      <c r="A15" s="9" t="s">
        <v>32</v>
      </c>
      <c r="B15" s="10">
        <v>4000</v>
      </c>
    </row>
    <row r="16" spans="1:2">
      <c r="A16" s="9" t="s">
        <v>42</v>
      </c>
      <c r="B16" s="10">
        <v>414000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8F36-94FB-4572-BE61-385C35FFB2A4}">
  <dimension ref="A1:J81"/>
  <sheetViews>
    <sheetView workbookViewId="0">
      <pane ySplit="1" topLeftCell="A2" activePane="bottomLeft" state="frozen"/>
      <selection pane="bottomLeft" activeCell="D9" sqref="D9"/>
    </sheetView>
  </sheetViews>
  <sheetFormatPr defaultRowHeight="14.4"/>
  <cols>
    <col min="1" max="1" width="7.33203125" bestFit="1" customWidth="1"/>
    <col min="2" max="2" width="10.33203125" bestFit="1" customWidth="1"/>
    <col min="3" max="3" width="6.44140625" bestFit="1" customWidth="1"/>
    <col min="4" max="4" width="8.44140625" bestFit="1" customWidth="1"/>
    <col min="5" max="5" width="7.33203125" bestFit="1" customWidth="1"/>
    <col min="6" max="6" width="8.5546875" bestFit="1" customWidth="1"/>
    <col min="7" max="7" width="10.44140625" style="2" bestFit="1" customWidth="1"/>
    <col min="8" max="8" width="10.88671875" style="2" bestFit="1" customWidth="1"/>
    <col min="9" max="9" width="8.44140625" bestFit="1" customWidth="1"/>
    <col min="10" max="10" width="11.6640625" bestFit="1" customWidth="1"/>
  </cols>
  <sheetData>
    <row r="1" spans="1:10" s="3" customFormat="1">
      <c r="A1" s="3" t="s">
        <v>0</v>
      </c>
      <c r="B1" s="3" t="s">
        <v>1</v>
      </c>
      <c r="C1" s="3" t="s">
        <v>2</v>
      </c>
      <c r="D1" s="3" t="s">
        <v>3</v>
      </c>
      <c r="E1" s="3" t="s">
        <v>4</v>
      </c>
      <c r="F1" s="3" t="s">
        <v>5</v>
      </c>
      <c r="G1" s="4" t="s">
        <v>6</v>
      </c>
      <c r="H1" s="4" t="s">
        <v>18</v>
      </c>
      <c r="I1" s="3" t="s">
        <v>19</v>
      </c>
      <c r="J1" s="3" t="s">
        <v>20</v>
      </c>
    </row>
    <row r="2" spans="1:10">
      <c r="A2">
        <v>1010</v>
      </c>
      <c r="B2" s="1">
        <v>45301</v>
      </c>
      <c r="C2" t="s">
        <v>10</v>
      </c>
      <c r="D2" t="s">
        <v>11</v>
      </c>
      <c r="E2" t="s">
        <v>15</v>
      </c>
      <c r="F2">
        <v>11</v>
      </c>
      <c r="G2" s="2">
        <v>800</v>
      </c>
      <c r="H2" s="2">
        <f>SalesTable[[#This Row],[UnitsSold]]*SalesTable[[#This Row],[UnitPrice]]</f>
        <v>8800</v>
      </c>
      <c r="I2" t="str">
        <f>TEXT(SalesTable[[#This Row],[OrderDate]],"mmmm")</f>
        <v>January</v>
      </c>
      <c r="J2" t="str">
        <f>IF(SalesTable[[#This Row],[UnitsSold]]&gt;=8,"High","Low")</f>
        <v>High</v>
      </c>
    </row>
    <row r="3" spans="1:10">
      <c r="A3">
        <v>1027</v>
      </c>
      <c r="B3" s="1">
        <v>45318</v>
      </c>
      <c r="C3" t="s">
        <v>13</v>
      </c>
      <c r="D3" t="s">
        <v>14</v>
      </c>
      <c r="E3" t="s">
        <v>15</v>
      </c>
      <c r="F3">
        <v>11</v>
      </c>
      <c r="G3" s="2">
        <v>800</v>
      </c>
      <c r="H3" s="2">
        <f>SalesTable[[#This Row],[UnitsSold]]*SalesTable[[#This Row],[UnitPrice]]</f>
        <v>8800</v>
      </c>
      <c r="I3" t="s">
        <v>27</v>
      </c>
      <c r="J3" t="str">
        <f>IF(SalesTable[[#This Row],[UnitsSold]]&gt;=8,"High","Low")</f>
        <v>High</v>
      </c>
    </row>
    <row r="4" spans="1:10">
      <c r="A4">
        <v>1040</v>
      </c>
      <c r="B4" s="1">
        <v>45332</v>
      </c>
      <c r="C4" t="s">
        <v>16</v>
      </c>
      <c r="D4" t="s">
        <v>17</v>
      </c>
      <c r="E4" t="s">
        <v>15</v>
      </c>
      <c r="F4">
        <v>11</v>
      </c>
      <c r="G4" s="2">
        <v>800</v>
      </c>
      <c r="H4" s="2">
        <f>SalesTable[[#This Row],[UnitsSold]]*SalesTable[[#This Row],[UnitPrice]]</f>
        <v>8800</v>
      </c>
      <c r="I4" t="s">
        <v>29</v>
      </c>
      <c r="J4" t="str">
        <f>IF(SalesTable[[#This Row],[UnitsSold]]&gt;=8,"High","Low")</f>
        <v>High</v>
      </c>
    </row>
    <row r="5" spans="1:10">
      <c r="A5">
        <v>1058</v>
      </c>
      <c r="B5" s="1">
        <v>45350</v>
      </c>
      <c r="C5" t="s">
        <v>10</v>
      </c>
      <c r="D5" t="s">
        <v>11</v>
      </c>
      <c r="E5" t="s">
        <v>15</v>
      </c>
      <c r="F5">
        <v>11</v>
      </c>
      <c r="G5" s="2">
        <v>800</v>
      </c>
      <c r="H5" s="2">
        <f>SalesTable[[#This Row],[UnitsSold]]*SalesTable[[#This Row],[UnitPrice]]</f>
        <v>8800</v>
      </c>
      <c r="I5" t="str">
        <f>TEXT(SalesTable[[#This Row],[OrderDate]],"mmmm")</f>
        <v>February</v>
      </c>
      <c r="J5" t="str">
        <f>IF(SalesTable[[#This Row],[UnitsSold]]&gt;=8,"High","Low")</f>
        <v>High</v>
      </c>
    </row>
    <row r="6" spans="1:10">
      <c r="A6">
        <v>1063</v>
      </c>
      <c r="B6" s="1">
        <v>45356</v>
      </c>
      <c r="C6" t="s">
        <v>13</v>
      </c>
      <c r="D6" t="s">
        <v>14</v>
      </c>
      <c r="E6" t="s">
        <v>9</v>
      </c>
      <c r="F6">
        <v>7</v>
      </c>
      <c r="G6" s="2">
        <v>1200</v>
      </c>
      <c r="H6" s="2">
        <f>SalesTable[[#This Row],[UnitsSold]]*SalesTable[[#This Row],[UnitPrice]]</f>
        <v>8400</v>
      </c>
      <c r="I6" t="str">
        <f>TEXT(SalesTable[[#This Row],[OrderDate]],"mmmm")</f>
        <v>March</v>
      </c>
      <c r="J6" t="str">
        <f>IF(SalesTable[[#This Row],[UnitsSold]]&gt;=8,"High","Low")</f>
        <v>Low</v>
      </c>
    </row>
    <row r="7" spans="1:10">
      <c r="A7">
        <v>1003</v>
      </c>
      <c r="B7" s="1">
        <v>45294</v>
      </c>
      <c r="C7" t="s">
        <v>13</v>
      </c>
      <c r="D7" t="s">
        <v>14</v>
      </c>
      <c r="E7" t="s">
        <v>15</v>
      </c>
      <c r="F7">
        <v>10</v>
      </c>
      <c r="G7" s="2">
        <v>800</v>
      </c>
      <c r="H7" s="2">
        <f>SalesTable[[#This Row],[UnitsSold]]*SalesTable[[#This Row],[UnitPrice]]</f>
        <v>8000</v>
      </c>
      <c r="I7" t="s">
        <v>28</v>
      </c>
      <c r="J7" t="str">
        <f>IF(SalesTable[[#This Row],[UnitsSold]]&gt;=8,"High","Low")</f>
        <v>High</v>
      </c>
    </row>
    <row r="8" spans="1:10">
      <c r="A8">
        <v>1020</v>
      </c>
      <c r="B8" s="1">
        <v>45311</v>
      </c>
      <c r="C8" t="s">
        <v>16</v>
      </c>
      <c r="D8" t="s">
        <v>17</v>
      </c>
      <c r="E8" t="s">
        <v>15</v>
      </c>
      <c r="F8">
        <v>10</v>
      </c>
      <c r="G8" s="2">
        <v>800</v>
      </c>
      <c r="H8" s="2">
        <f>SalesTable[[#This Row],[UnitsSold]]*SalesTable[[#This Row],[UnitPrice]]</f>
        <v>8000</v>
      </c>
      <c r="I8" t="s">
        <v>33</v>
      </c>
      <c r="J8" t="str">
        <f>IF(SalesTable[[#This Row],[UnitsSold]]&gt;=8,"High","Low")</f>
        <v>High</v>
      </c>
    </row>
    <row r="9" spans="1:10">
      <c r="A9">
        <v>1046</v>
      </c>
      <c r="B9" s="1">
        <v>45338</v>
      </c>
      <c r="C9" t="s">
        <v>10</v>
      </c>
      <c r="D9" t="s">
        <v>11</v>
      </c>
      <c r="E9" t="s">
        <v>15</v>
      </c>
      <c r="F9">
        <v>10</v>
      </c>
      <c r="G9" s="2">
        <v>800</v>
      </c>
      <c r="H9" s="2">
        <f>SalesTable[[#This Row],[UnitsSold]]*SalesTable[[#This Row],[UnitPrice]]</f>
        <v>8000</v>
      </c>
      <c r="I9" t="s">
        <v>30</v>
      </c>
      <c r="J9" t="str">
        <f>IF(SalesTable[[#This Row],[UnitsSold]]&gt;=8,"High","Low")</f>
        <v>High</v>
      </c>
    </row>
    <row r="10" spans="1:10">
      <c r="A10">
        <v>1064</v>
      </c>
      <c r="B10" s="1">
        <v>45357</v>
      </c>
      <c r="C10" t="s">
        <v>16</v>
      </c>
      <c r="D10" t="s">
        <v>17</v>
      </c>
      <c r="E10" t="s">
        <v>15</v>
      </c>
      <c r="F10">
        <v>10</v>
      </c>
      <c r="G10" s="2">
        <v>800</v>
      </c>
      <c r="H10" s="2">
        <f>SalesTable[[#This Row],[UnitsSold]]*SalesTable[[#This Row],[UnitPrice]]</f>
        <v>8000</v>
      </c>
      <c r="I10" t="str">
        <f>TEXT(SalesTable[[#This Row],[OrderDate]],"mmmm")</f>
        <v>March</v>
      </c>
      <c r="J10" t="str">
        <f>IF(SalesTable[[#This Row],[UnitsSold]]&gt;=8,"High","Low")</f>
        <v>High</v>
      </c>
    </row>
    <row r="11" spans="1:10">
      <c r="A11">
        <v>1073</v>
      </c>
      <c r="B11" s="1">
        <v>45366</v>
      </c>
      <c r="C11" t="s">
        <v>7</v>
      </c>
      <c r="D11" t="s">
        <v>8</v>
      </c>
      <c r="E11" t="s">
        <v>15</v>
      </c>
      <c r="F11">
        <v>10</v>
      </c>
      <c r="G11" s="2">
        <v>800</v>
      </c>
      <c r="H11" s="2">
        <f>SalesTable[[#This Row],[UnitsSold]]*SalesTable[[#This Row],[UnitPrice]]</f>
        <v>8000</v>
      </c>
      <c r="I11" t="s">
        <v>27</v>
      </c>
      <c r="J11" t="str">
        <f>IF(SalesTable[[#This Row],[UnitsSold]]&gt;=8,"High","Low")</f>
        <v>High</v>
      </c>
    </row>
    <row r="12" spans="1:10">
      <c r="A12">
        <v>1008</v>
      </c>
      <c r="B12" s="1">
        <v>45299</v>
      </c>
      <c r="C12" t="s">
        <v>16</v>
      </c>
      <c r="D12" t="s">
        <v>17</v>
      </c>
      <c r="E12" t="s">
        <v>15</v>
      </c>
      <c r="F12">
        <v>9</v>
      </c>
      <c r="G12" s="2">
        <v>800</v>
      </c>
      <c r="H12" s="2">
        <f>SalesTable[[#This Row],[UnitsSold]]*SalesTable[[#This Row],[UnitPrice]]</f>
        <v>7200</v>
      </c>
      <c r="I12" t="str">
        <f>TEXT(SalesTable[[#This Row],[OrderDate]],"mmmm")</f>
        <v>January</v>
      </c>
      <c r="J12" t="str">
        <f>IF(SalesTable[[#This Row],[UnitsSold]]&gt;=8,"High","Low")</f>
        <v>High</v>
      </c>
    </row>
    <row r="13" spans="1:10">
      <c r="A13">
        <v>1021</v>
      </c>
      <c r="B13" s="1">
        <v>45312</v>
      </c>
      <c r="C13" t="s">
        <v>7</v>
      </c>
      <c r="D13" t="s">
        <v>8</v>
      </c>
      <c r="E13" t="s">
        <v>9</v>
      </c>
      <c r="F13">
        <v>6</v>
      </c>
      <c r="G13" s="2">
        <v>1200</v>
      </c>
      <c r="H13" s="2">
        <f>SalesTable[[#This Row],[UnitsSold]]*SalesTable[[#This Row],[UnitPrice]]</f>
        <v>7200</v>
      </c>
      <c r="I13" t="s">
        <v>31</v>
      </c>
      <c r="J13" t="str">
        <f>IF(SalesTable[[#This Row],[UnitsSold]]&gt;=8,"High","Low")</f>
        <v>Low</v>
      </c>
    </row>
    <row r="14" spans="1:10">
      <c r="A14">
        <v>1022</v>
      </c>
      <c r="B14" s="1">
        <v>45313</v>
      </c>
      <c r="C14" t="s">
        <v>10</v>
      </c>
      <c r="D14" t="s">
        <v>11</v>
      </c>
      <c r="E14" t="s">
        <v>15</v>
      </c>
      <c r="F14">
        <v>9</v>
      </c>
      <c r="G14" s="2">
        <v>800</v>
      </c>
      <c r="H14" s="2">
        <f>SalesTable[[#This Row],[UnitsSold]]*SalesTable[[#This Row],[UnitPrice]]</f>
        <v>7200</v>
      </c>
      <c r="I14" t="str">
        <f>TEXT(SalesTable[[#This Row],[OrderDate]],"mmmm")</f>
        <v>January</v>
      </c>
      <c r="J14" t="str">
        <f>IF(SalesTable[[#This Row],[UnitsSold]]&gt;=8,"High","Low")</f>
        <v>High</v>
      </c>
    </row>
    <row r="15" spans="1:10">
      <c r="A15">
        <v>1037</v>
      </c>
      <c r="B15" s="1">
        <v>45329</v>
      </c>
      <c r="C15" t="s">
        <v>7</v>
      </c>
      <c r="D15" t="s">
        <v>8</v>
      </c>
      <c r="E15" t="s">
        <v>15</v>
      </c>
      <c r="F15">
        <v>9</v>
      </c>
      <c r="G15" s="2">
        <v>800</v>
      </c>
      <c r="H15" s="2">
        <f>SalesTable[[#This Row],[UnitsSold]]*SalesTable[[#This Row],[UnitPrice]]</f>
        <v>7200</v>
      </c>
      <c r="I15" t="s">
        <v>28</v>
      </c>
      <c r="J15" t="str">
        <f>IF(SalesTable[[#This Row],[UnitsSold]]&gt;=8,"High","Low")</f>
        <v>High</v>
      </c>
    </row>
    <row r="16" spans="1:10">
      <c r="A16">
        <v>1042</v>
      </c>
      <c r="B16" s="1">
        <v>45334</v>
      </c>
      <c r="C16" t="s">
        <v>10</v>
      </c>
      <c r="D16" t="s">
        <v>11</v>
      </c>
      <c r="E16" t="s">
        <v>9</v>
      </c>
      <c r="F16">
        <v>6</v>
      </c>
      <c r="G16" s="2">
        <v>1200</v>
      </c>
      <c r="H16" s="2">
        <f>SalesTable[[#This Row],[UnitsSold]]*SalesTable[[#This Row],[UnitPrice]]</f>
        <v>7200</v>
      </c>
      <c r="I16" t="str">
        <f>TEXT(SalesTable[[#This Row],[OrderDate]],"mmmm")</f>
        <v>February</v>
      </c>
      <c r="J16" t="str">
        <f>IF(SalesTable[[#This Row],[UnitsSold]]&gt;=8,"High","Low")</f>
        <v>Low</v>
      </c>
    </row>
    <row r="17" spans="1:10">
      <c r="A17">
        <v>1051</v>
      </c>
      <c r="B17" s="1">
        <v>45343</v>
      </c>
      <c r="C17" t="s">
        <v>13</v>
      </c>
      <c r="D17" t="s">
        <v>14</v>
      </c>
      <c r="E17" t="s">
        <v>9</v>
      </c>
      <c r="F17">
        <v>6</v>
      </c>
      <c r="G17" s="2">
        <v>1200</v>
      </c>
      <c r="H17" s="2">
        <f>SalesTable[[#This Row],[UnitsSold]]*SalesTable[[#This Row],[UnitPrice]]</f>
        <v>7200</v>
      </c>
      <c r="I17" t="s">
        <v>27</v>
      </c>
      <c r="J17" t="str">
        <f>IF(SalesTable[[#This Row],[UnitsSold]]&gt;=8,"High","Low")</f>
        <v>Low</v>
      </c>
    </row>
    <row r="18" spans="1:10">
      <c r="A18">
        <v>1052</v>
      </c>
      <c r="B18" s="1">
        <v>45344</v>
      </c>
      <c r="C18" t="s">
        <v>16</v>
      </c>
      <c r="D18" t="s">
        <v>17</v>
      </c>
      <c r="E18" t="s">
        <v>15</v>
      </c>
      <c r="F18">
        <v>9</v>
      </c>
      <c r="G18" s="2">
        <v>800</v>
      </c>
      <c r="H18" s="2">
        <f>SalesTable[[#This Row],[UnitsSold]]*SalesTable[[#This Row],[UnitPrice]]</f>
        <v>7200</v>
      </c>
      <c r="I18" t="s">
        <v>33</v>
      </c>
      <c r="J18" t="str">
        <f>IF(SalesTable[[#This Row],[UnitsSold]]&gt;=8,"High","Low")</f>
        <v>High</v>
      </c>
    </row>
    <row r="19" spans="1:10">
      <c r="A19">
        <v>1066</v>
      </c>
      <c r="B19" s="1">
        <v>45359</v>
      </c>
      <c r="C19" t="s">
        <v>10</v>
      </c>
      <c r="D19" t="s">
        <v>11</v>
      </c>
      <c r="E19" t="s">
        <v>9</v>
      </c>
      <c r="F19">
        <v>6</v>
      </c>
      <c r="G19" s="2">
        <v>1200</v>
      </c>
      <c r="H19" s="2">
        <f>SalesTable[[#This Row],[UnitsSold]]*SalesTable[[#This Row],[UnitPrice]]</f>
        <v>7200</v>
      </c>
      <c r="I19" t="str">
        <f>TEXT(SalesTable[[#This Row],[OrderDate]],"mmmm")</f>
        <v>March</v>
      </c>
      <c r="J19" t="str">
        <f>IF(SalesTable[[#This Row],[UnitsSold]]&gt;=8,"High","Low")</f>
        <v>Low</v>
      </c>
    </row>
    <row r="20" spans="1:10">
      <c r="A20">
        <v>1067</v>
      </c>
      <c r="B20" s="1">
        <v>45360</v>
      </c>
      <c r="C20" t="s">
        <v>13</v>
      </c>
      <c r="D20" t="s">
        <v>14</v>
      </c>
      <c r="E20" t="s">
        <v>15</v>
      </c>
      <c r="F20">
        <v>9</v>
      </c>
      <c r="G20" s="2">
        <v>800</v>
      </c>
      <c r="H20" s="2">
        <f>SalesTable[[#This Row],[UnitsSold]]*SalesTable[[#This Row],[UnitPrice]]</f>
        <v>7200</v>
      </c>
      <c r="I20" t="str">
        <f>TEXT(SalesTable[[#This Row],[OrderDate]],"mmmm")</f>
        <v>March</v>
      </c>
      <c r="J20" t="str">
        <f>IF(SalesTable[[#This Row],[UnitsSold]]&gt;=8,"High","Low")</f>
        <v>High</v>
      </c>
    </row>
    <row r="21" spans="1:10">
      <c r="A21">
        <v>1078</v>
      </c>
      <c r="B21" s="1">
        <v>45371</v>
      </c>
      <c r="C21" t="s">
        <v>10</v>
      </c>
      <c r="D21" t="s">
        <v>11</v>
      </c>
      <c r="E21" t="s">
        <v>9</v>
      </c>
      <c r="F21">
        <v>6</v>
      </c>
      <c r="G21" s="2">
        <v>1200</v>
      </c>
      <c r="H21" s="2">
        <f>SalesTable[[#This Row],[UnitsSold]]*SalesTable[[#This Row],[UnitPrice]]</f>
        <v>7200</v>
      </c>
      <c r="I21" t="s">
        <v>28</v>
      </c>
      <c r="J21" t="str">
        <f>IF(SalesTable[[#This Row],[UnitsSold]]&gt;=8,"High","Low")</f>
        <v>Low</v>
      </c>
    </row>
    <row r="22" spans="1:10">
      <c r="A22">
        <v>1079</v>
      </c>
      <c r="B22" s="1">
        <v>45372</v>
      </c>
      <c r="C22" t="s">
        <v>13</v>
      </c>
      <c r="D22" t="s">
        <v>14</v>
      </c>
      <c r="E22" t="s">
        <v>15</v>
      </c>
      <c r="F22">
        <v>9</v>
      </c>
      <c r="G22" s="2">
        <v>800</v>
      </c>
      <c r="H22" s="2">
        <f>SalesTable[[#This Row],[UnitsSold]]*SalesTable[[#This Row],[UnitPrice]]</f>
        <v>7200</v>
      </c>
      <c r="I22" t="s">
        <v>29</v>
      </c>
      <c r="J22" t="str">
        <f>IF(SalesTable[[#This Row],[UnitsSold]]&gt;=8,"High","Low")</f>
        <v>High</v>
      </c>
    </row>
    <row r="23" spans="1:10">
      <c r="A23">
        <v>1015</v>
      </c>
      <c r="B23" s="1">
        <v>45306</v>
      </c>
      <c r="C23" t="s">
        <v>13</v>
      </c>
      <c r="D23" t="s">
        <v>14</v>
      </c>
      <c r="E23" t="s">
        <v>15</v>
      </c>
      <c r="F23">
        <v>8</v>
      </c>
      <c r="G23" s="2">
        <v>800</v>
      </c>
      <c r="H23" s="2">
        <f>SalesTable[[#This Row],[UnitsSold]]*SalesTable[[#This Row],[UnitPrice]]</f>
        <v>6400</v>
      </c>
      <c r="I23" t="s">
        <v>27</v>
      </c>
      <c r="J23" t="str">
        <f>IF(SalesTable[[#This Row],[UnitsSold]]&gt;=8,"High","Low")</f>
        <v>High</v>
      </c>
    </row>
    <row r="24" spans="1:10">
      <c r="A24">
        <v>1034</v>
      </c>
      <c r="B24" s="1">
        <v>45326</v>
      </c>
      <c r="C24" t="s">
        <v>10</v>
      </c>
      <c r="D24" t="s">
        <v>11</v>
      </c>
      <c r="E24" t="s">
        <v>15</v>
      </c>
      <c r="F24">
        <v>8</v>
      </c>
      <c r="G24" s="2">
        <v>800</v>
      </c>
      <c r="H24" s="2">
        <f>SalesTable[[#This Row],[UnitsSold]]*SalesTable[[#This Row],[UnitPrice]]</f>
        <v>6400</v>
      </c>
      <c r="I24" t="s">
        <v>34</v>
      </c>
      <c r="J24" t="str">
        <f>IF(SalesTable[[#This Row],[UnitsSold]]&gt;=8,"High","Low")</f>
        <v>High</v>
      </c>
    </row>
    <row r="25" spans="1:10">
      <c r="A25">
        <v>1049</v>
      </c>
      <c r="B25" s="1">
        <v>45341</v>
      </c>
      <c r="C25" t="s">
        <v>7</v>
      </c>
      <c r="D25" t="s">
        <v>8</v>
      </c>
      <c r="E25" t="s">
        <v>15</v>
      </c>
      <c r="F25">
        <v>8</v>
      </c>
      <c r="G25" s="2">
        <v>800</v>
      </c>
      <c r="H25" s="2">
        <f>SalesTable[[#This Row],[UnitsSold]]*SalesTable[[#This Row],[UnitPrice]]</f>
        <v>6400</v>
      </c>
      <c r="I25" t="s">
        <v>31</v>
      </c>
      <c r="J25" t="str">
        <f>IF(SalesTable[[#This Row],[UnitsSold]]&gt;=8,"High","Low")</f>
        <v>High</v>
      </c>
    </row>
    <row r="26" spans="1:10">
      <c r="A26">
        <v>1070</v>
      </c>
      <c r="B26" s="1">
        <v>45363</v>
      </c>
      <c r="C26" t="s">
        <v>10</v>
      </c>
      <c r="D26" t="s">
        <v>11</v>
      </c>
      <c r="E26" t="s">
        <v>15</v>
      </c>
      <c r="F26">
        <v>8</v>
      </c>
      <c r="G26" s="2">
        <v>800</v>
      </c>
      <c r="H26" s="2">
        <f>SalesTable[[#This Row],[UnitsSold]]*SalesTable[[#This Row],[UnitPrice]]</f>
        <v>6400</v>
      </c>
      <c r="I26" t="str">
        <f>TEXT(SalesTable[[#This Row],[OrderDate]],"mmmm")</f>
        <v>March</v>
      </c>
      <c r="J26" t="str">
        <f>IF(SalesTable[[#This Row],[UnitsSold]]&gt;=8,"High","Low")</f>
        <v>High</v>
      </c>
    </row>
    <row r="27" spans="1:10">
      <c r="A27">
        <v>1001</v>
      </c>
      <c r="B27" s="1">
        <v>45292</v>
      </c>
      <c r="C27" t="s">
        <v>7</v>
      </c>
      <c r="D27" t="s">
        <v>8</v>
      </c>
      <c r="E27" t="s">
        <v>9</v>
      </c>
      <c r="F27">
        <v>5</v>
      </c>
      <c r="G27" s="2">
        <v>1200</v>
      </c>
      <c r="H27" s="2">
        <f>SalesTable[[#This Row],[UnitsSold]]*SalesTable[[#This Row],[UnitPrice]]</f>
        <v>6000</v>
      </c>
      <c r="I27" t="str">
        <f>TEXT(SalesTable[[#This Row],[OrderDate]],"mmmm")</f>
        <v>January</v>
      </c>
      <c r="J27" t="str">
        <f>IF(SalesTable[[#This Row],[UnitsSold]]&gt;=8,"High","Low")</f>
        <v>Low</v>
      </c>
    </row>
    <row r="28" spans="1:10">
      <c r="A28">
        <v>1016</v>
      </c>
      <c r="B28" s="1">
        <v>45307</v>
      </c>
      <c r="C28" t="s">
        <v>16</v>
      </c>
      <c r="D28" t="s">
        <v>17</v>
      </c>
      <c r="E28" t="s">
        <v>9</v>
      </c>
      <c r="F28">
        <v>5</v>
      </c>
      <c r="G28" s="2">
        <v>1200</v>
      </c>
      <c r="H28" s="2">
        <f>SalesTable[[#This Row],[UnitsSold]]*SalesTable[[#This Row],[UnitPrice]]</f>
        <v>6000</v>
      </c>
      <c r="I28" t="s">
        <v>35</v>
      </c>
      <c r="J28" t="str">
        <f>IF(SalesTable[[#This Row],[UnitsSold]]&gt;=8,"High","Low")</f>
        <v>Low</v>
      </c>
    </row>
    <row r="29" spans="1:10">
      <c r="A29">
        <v>1030</v>
      </c>
      <c r="B29" s="1">
        <v>45321</v>
      </c>
      <c r="C29" t="s">
        <v>10</v>
      </c>
      <c r="D29" t="s">
        <v>11</v>
      </c>
      <c r="E29" t="s">
        <v>9</v>
      </c>
      <c r="F29">
        <v>5</v>
      </c>
      <c r="G29" s="2">
        <v>1200</v>
      </c>
      <c r="H29" s="2">
        <f>SalesTable[[#This Row],[UnitsSold]]*SalesTable[[#This Row],[UnitPrice]]</f>
        <v>6000</v>
      </c>
      <c r="I29" t="str">
        <f>TEXT(SalesTable[[#This Row],[OrderDate]],"mmmm")</f>
        <v>January</v>
      </c>
      <c r="J29" t="str">
        <f>IF(SalesTable[[#This Row],[UnitsSold]]&gt;=8,"High","Low")</f>
        <v>Low</v>
      </c>
    </row>
    <row r="30" spans="1:10">
      <c r="A30">
        <v>1039</v>
      </c>
      <c r="B30" s="1">
        <v>45331</v>
      </c>
      <c r="C30" t="s">
        <v>13</v>
      </c>
      <c r="D30" t="s">
        <v>14</v>
      </c>
      <c r="E30" t="s">
        <v>9</v>
      </c>
      <c r="F30">
        <v>5</v>
      </c>
      <c r="G30" s="2">
        <v>1200</v>
      </c>
      <c r="H30" s="2">
        <f>SalesTable[[#This Row],[UnitsSold]]*SalesTable[[#This Row],[UnitPrice]]</f>
        <v>6000</v>
      </c>
      <c r="I30" t="s">
        <v>30</v>
      </c>
      <c r="J30" t="str">
        <f>IF(SalesTable[[#This Row],[UnitsSold]]&gt;=8,"High","Low")</f>
        <v>Low</v>
      </c>
    </row>
    <row r="31" spans="1:10">
      <c r="A31">
        <v>1054</v>
      </c>
      <c r="B31" s="1">
        <v>45346</v>
      </c>
      <c r="C31" t="s">
        <v>10</v>
      </c>
      <c r="D31" t="s">
        <v>11</v>
      </c>
      <c r="E31" t="s">
        <v>9</v>
      </c>
      <c r="F31">
        <v>5</v>
      </c>
      <c r="G31" s="2">
        <v>1200</v>
      </c>
      <c r="H31" s="2">
        <f>SalesTable[[#This Row],[UnitsSold]]*SalesTable[[#This Row],[UnitPrice]]</f>
        <v>6000</v>
      </c>
      <c r="I31" t="str">
        <f>TEXT(SalesTable[[#This Row],[OrderDate]],"mmmm")</f>
        <v>February</v>
      </c>
      <c r="J31" t="str">
        <f>IF(SalesTable[[#This Row],[UnitsSold]]&gt;=8,"High","Low")</f>
        <v>Low</v>
      </c>
    </row>
    <row r="32" spans="1:10">
      <c r="A32">
        <v>1060</v>
      </c>
      <c r="B32" s="1">
        <v>45353</v>
      </c>
      <c r="C32" t="s">
        <v>16</v>
      </c>
      <c r="D32" t="s">
        <v>17</v>
      </c>
      <c r="E32" t="s">
        <v>9</v>
      </c>
      <c r="F32">
        <v>5</v>
      </c>
      <c r="G32" s="2">
        <v>1200</v>
      </c>
      <c r="H32" s="2">
        <f>SalesTable[[#This Row],[UnitsSold]]*SalesTable[[#This Row],[UnitPrice]]</f>
        <v>6000</v>
      </c>
      <c r="I32" t="s">
        <v>33</v>
      </c>
      <c r="J32" t="str">
        <f>IF(SalesTable[[#This Row],[UnitsSold]]&gt;=8,"High","Low")</f>
        <v>Low</v>
      </c>
    </row>
    <row r="33" spans="1:10">
      <c r="A33">
        <v>1075</v>
      </c>
      <c r="B33" s="1">
        <v>45368</v>
      </c>
      <c r="C33" t="s">
        <v>13</v>
      </c>
      <c r="D33" t="s">
        <v>14</v>
      </c>
      <c r="E33" t="s">
        <v>9</v>
      </c>
      <c r="F33">
        <v>5</v>
      </c>
      <c r="G33" s="2">
        <v>1200</v>
      </c>
      <c r="H33" s="2">
        <f>SalesTable[[#This Row],[UnitsSold]]*SalesTable[[#This Row],[UnitPrice]]</f>
        <v>6000</v>
      </c>
      <c r="I33" t="str">
        <f>TEXT(SalesTable[[#This Row],[OrderDate]],"mmmm")</f>
        <v>March</v>
      </c>
      <c r="J33" t="str">
        <f>IF(SalesTable[[#This Row],[UnitsSold]]&gt;=8,"High","Low")</f>
        <v>Low</v>
      </c>
    </row>
    <row r="34" spans="1:10">
      <c r="A34">
        <v>1017</v>
      </c>
      <c r="B34" s="1">
        <v>45308</v>
      </c>
      <c r="C34" t="s">
        <v>7</v>
      </c>
      <c r="D34" t="s">
        <v>8</v>
      </c>
      <c r="E34" t="s">
        <v>15</v>
      </c>
      <c r="F34">
        <v>7</v>
      </c>
      <c r="G34" s="2">
        <v>800</v>
      </c>
      <c r="H34" s="2">
        <f>SalesTable[[#This Row],[UnitsSold]]*SalesTable[[#This Row],[UnitPrice]]</f>
        <v>5600</v>
      </c>
      <c r="I34" t="str">
        <f>TEXT(SalesTable[[#This Row],[OrderDate]],"mmmm")</f>
        <v>January</v>
      </c>
      <c r="J34" t="str">
        <f>IF(SalesTable[[#This Row],[UnitsSold]]&gt;=8,"High","Low")</f>
        <v>Low</v>
      </c>
    </row>
    <row r="35" spans="1:10">
      <c r="A35">
        <v>1043</v>
      </c>
      <c r="B35" s="1">
        <v>45335</v>
      </c>
      <c r="C35" t="s">
        <v>13</v>
      </c>
      <c r="D35" t="s">
        <v>14</v>
      </c>
      <c r="E35" t="s">
        <v>15</v>
      </c>
      <c r="F35">
        <v>7</v>
      </c>
      <c r="G35" s="2">
        <v>800</v>
      </c>
      <c r="H35" s="2">
        <f>SalesTable[[#This Row],[UnitsSold]]*SalesTable[[#This Row],[UnitPrice]]</f>
        <v>5600</v>
      </c>
      <c r="I35" t="str">
        <f>TEXT(SalesTable[[#This Row],[OrderDate]],"mmmm")</f>
        <v>February</v>
      </c>
      <c r="J35" t="str">
        <f>IF(SalesTable[[#This Row],[UnitsSold]]&gt;=8,"High","Low")</f>
        <v>Low</v>
      </c>
    </row>
    <row r="36" spans="1:10">
      <c r="A36">
        <v>1055</v>
      </c>
      <c r="B36" s="1">
        <v>45347</v>
      </c>
      <c r="C36" t="s">
        <v>13</v>
      </c>
      <c r="D36" t="s">
        <v>14</v>
      </c>
      <c r="E36" t="s">
        <v>15</v>
      </c>
      <c r="F36">
        <v>7</v>
      </c>
      <c r="G36" s="2">
        <v>800</v>
      </c>
      <c r="H36" s="2">
        <f>SalesTable[[#This Row],[UnitsSold]]*SalesTable[[#This Row],[UnitPrice]]</f>
        <v>5600</v>
      </c>
      <c r="I36" t="s">
        <v>29</v>
      </c>
      <c r="J36" t="str">
        <f>IF(SalesTable[[#This Row],[UnitsSold]]&gt;=8,"High","Low")</f>
        <v>Low</v>
      </c>
    </row>
    <row r="37" spans="1:10">
      <c r="A37">
        <v>1076</v>
      </c>
      <c r="B37" s="1">
        <v>45369</v>
      </c>
      <c r="C37" t="s">
        <v>16</v>
      </c>
      <c r="D37" t="s">
        <v>17</v>
      </c>
      <c r="E37" t="s">
        <v>15</v>
      </c>
      <c r="F37">
        <v>7</v>
      </c>
      <c r="G37" s="2">
        <v>800</v>
      </c>
      <c r="H37" s="2">
        <f>SalesTable[[#This Row],[UnitsSold]]*SalesTable[[#This Row],[UnitPrice]]</f>
        <v>5600</v>
      </c>
      <c r="I37" t="s">
        <v>28</v>
      </c>
      <c r="J37" t="str">
        <f>IF(SalesTable[[#This Row],[UnitsSold]]&gt;=8,"High","Low")</f>
        <v>Low</v>
      </c>
    </row>
    <row r="38" spans="1:10">
      <c r="A38">
        <v>1005</v>
      </c>
      <c r="B38" s="1">
        <v>45296</v>
      </c>
      <c r="C38" t="s">
        <v>7</v>
      </c>
      <c r="D38" t="s">
        <v>8</v>
      </c>
      <c r="E38" t="s">
        <v>15</v>
      </c>
      <c r="F38">
        <v>6</v>
      </c>
      <c r="G38" s="2">
        <v>800</v>
      </c>
      <c r="H38" s="2">
        <f>SalesTable[[#This Row],[UnitsSold]]*SalesTable[[#This Row],[UnitPrice]]</f>
        <v>4800</v>
      </c>
      <c r="I38" t="str">
        <f>TEXT(SalesTable[[#This Row],[OrderDate]],"mmmm")</f>
        <v>January</v>
      </c>
      <c r="J38" t="str">
        <f>IF(SalesTable[[#This Row],[UnitsSold]]&gt;=8,"High","Low")</f>
        <v>Low</v>
      </c>
    </row>
    <row r="39" spans="1:10">
      <c r="A39">
        <v>1006</v>
      </c>
      <c r="B39" s="1">
        <v>45297</v>
      </c>
      <c r="C39" t="s">
        <v>10</v>
      </c>
      <c r="D39" t="s">
        <v>11</v>
      </c>
      <c r="E39" t="s">
        <v>9</v>
      </c>
      <c r="F39">
        <v>4</v>
      </c>
      <c r="G39" s="2">
        <v>1200</v>
      </c>
      <c r="H39" s="2">
        <f>SalesTable[[#This Row],[UnitsSold]]*SalesTable[[#This Row],[UnitPrice]]</f>
        <v>4800</v>
      </c>
      <c r="I39" t="s">
        <v>35</v>
      </c>
      <c r="J39" t="str">
        <f>IF(SalesTable[[#This Row],[UnitsSold]]&gt;=8,"High","Low")</f>
        <v>Low</v>
      </c>
    </row>
    <row r="40" spans="1:10">
      <c r="A40">
        <v>1013</v>
      </c>
      <c r="B40" s="1">
        <v>45304</v>
      </c>
      <c r="C40" t="s">
        <v>7</v>
      </c>
      <c r="D40" t="s">
        <v>8</v>
      </c>
      <c r="E40" t="s">
        <v>9</v>
      </c>
      <c r="F40">
        <v>4</v>
      </c>
      <c r="G40" s="2">
        <v>1200</v>
      </c>
      <c r="H40" s="2">
        <f>SalesTable[[#This Row],[UnitsSold]]*SalesTable[[#This Row],[UnitPrice]]</f>
        <v>4800</v>
      </c>
      <c r="I40" t="s">
        <v>31</v>
      </c>
      <c r="J40" t="str">
        <f>IF(SalesTable[[#This Row],[UnitsSold]]&gt;=8,"High","Low")</f>
        <v>Low</v>
      </c>
    </row>
    <row r="41" spans="1:10">
      <c r="A41">
        <v>1023</v>
      </c>
      <c r="B41" s="1">
        <v>45314</v>
      </c>
      <c r="C41" t="s">
        <v>13</v>
      </c>
      <c r="D41" t="s">
        <v>14</v>
      </c>
      <c r="E41" t="s">
        <v>9</v>
      </c>
      <c r="F41">
        <v>4</v>
      </c>
      <c r="G41" s="2">
        <v>1200</v>
      </c>
      <c r="H41" s="2">
        <f>SalesTable[[#This Row],[UnitsSold]]*SalesTable[[#This Row],[UnitPrice]]</f>
        <v>4800</v>
      </c>
      <c r="I41" t="str">
        <f>TEXT(SalesTable[[#This Row],[OrderDate]],"mmmm")</f>
        <v>January</v>
      </c>
      <c r="J41" t="str">
        <f>IF(SalesTable[[#This Row],[UnitsSold]]&gt;=8,"High","Low")</f>
        <v>Low</v>
      </c>
    </row>
    <row r="42" spans="1:10">
      <c r="A42">
        <v>1031</v>
      </c>
      <c r="B42" s="1">
        <v>45323</v>
      </c>
      <c r="C42" t="s">
        <v>13</v>
      </c>
      <c r="D42" t="s">
        <v>14</v>
      </c>
      <c r="E42" t="s">
        <v>15</v>
      </c>
      <c r="F42">
        <v>6</v>
      </c>
      <c r="G42" s="2">
        <v>800</v>
      </c>
      <c r="H42" s="2">
        <f>SalesTable[[#This Row],[UnitsSold]]*SalesTable[[#This Row],[UnitPrice]]</f>
        <v>4800</v>
      </c>
      <c r="I42" t="str">
        <f>TEXT(SalesTable[[#This Row],[OrderDate]],"mmmm")</f>
        <v>February</v>
      </c>
      <c r="J42" t="str">
        <f>IF(SalesTable[[#This Row],[UnitsSold]]&gt;=8,"High","Low")</f>
        <v>Low</v>
      </c>
    </row>
    <row r="43" spans="1:10">
      <c r="A43">
        <v>1036</v>
      </c>
      <c r="B43" s="1">
        <v>45328</v>
      </c>
      <c r="C43" t="s">
        <v>16</v>
      </c>
      <c r="D43" t="s">
        <v>17</v>
      </c>
      <c r="E43" t="s">
        <v>9</v>
      </c>
      <c r="F43">
        <v>4</v>
      </c>
      <c r="G43" s="2">
        <v>1200</v>
      </c>
      <c r="H43" s="2">
        <f>SalesTable[[#This Row],[UnitsSold]]*SalesTable[[#This Row],[UnitPrice]]</f>
        <v>4800</v>
      </c>
      <c r="I43" t="s">
        <v>34</v>
      </c>
      <c r="J43" t="str">
        <f>IF(SalesTable[[#This Row],[UnitsSold]]&gt;=8,"High","Low")</f>
        <v>Low</v>
      </c>
    </row>
    <row r="44" spans="1:10">
      <c r="A44">
        <v>1045</v>
      </c>
      <c r="B44" s="1">
        <v>45337</v>
      </c>
      <c r="C44" t="s">
        <v>7</v>
      </c>
      <c r="D44" t="s">
        <v>8</v>
      </c>
      <c r="E44" t="s">
        <v>9</v>
      </c>
      <c r="F44">
        <v>4</v>
      </c>
      <c r="G44" s="2">
        <v>1200</v>
      </c>
      <c r="H44" s="2">
        <f>SalesTable[[#This Row],[UnitsSold]]*SalesTable[[#This Row],[UnitPrice]]</f>
        <v>4800</v>
      </c>
      <c r="I44" t="s">
        <v>33</v>
      </c>
      <c r="J44" t="str">
        <f>IF(SalesTable[[#This Row],[UnitsSold]]&gt;=8,"High","Low")</f>
        <v>Low</v>
      </c>
    </row>
    <row r="45" spans="1:10">
      <c r="A45">
        <v>1057</v>
      </c>
      <c r="B45" s="1">
        <v>45349</v>
      </c>
      <c r="C45" t="s">
        <v>7</v>
      </c>
      <c r="D45" t="s">
        <v>8</v>
      </c>
      <c r="E45" t="s">
        <v>9</v>
      </c>
      <c r="F45">
        <v>4</v>
      </c>
      <c r="G45" s="2">
        <v>1200</v>
      </c>
      <c r="H45" s="2">
        <f>SalesTable[[#This Row],[UnitsSold]]*SalesTable[[#This Row],[UnitPrice]]</f>
        <v>4800</v>
      </c>
      <c r="I45" t="str">
        <f>TEXT(SalesTable[[#This Row],[OrderDate]],"mmmm")</f>
        <v>February</v>
      </c>
      <c r="J45" t="str">
        <f>IF(SalesTable[[#This Row],[UnitsSold]]&gt;=8,"High","Low")</f>
        <v>Low</v>
      </c>
    </row>
    <row r="46" spans="1:10">
      <c r="A46">
        <v>1061</v>
      </c>
      <c r="B46" s="1">
        <v>45354</v>
      </c>
      <c r="C46" t="s">
        <v>7</v>
      </c>
      <c r="D46" t="s">
        <v>8</v>
      </c>
      <c r="E46" t="s">
        <v>15</v>
      </c>
      <c r="F46">
        <v>6</v>
      </c>
      <c r="G46" s="2">
        <v>800</v>
      </c>
      <c r="H46" s="2">
        <f>SalesTable[[#This Row],[UnitsSold]]*SalesTable[[#This Row],[UnitPrice]]</f>
        <v>4800</v>
      </c>
      <c r="I46" t="s">
        <v>28</v>
      </c>
      <c r="J46" t="str">
        <f>IF(SalesTable[[#This Row],[UnitsSold]]&gt;=8,"High","Low")</f>
        <v>Low</v>
      </c>
    </row>
    <row r="47" spans="1:10">
      <c r="A47">
        <v>1072</v>
      </c>
      <c r="B47" s="1">
        <v>45365</v>
      </c>
      <c r="C47" t="s">
        <v>16</v>
      </c>
      <c r="D47" t="s">
        <v>17</v>
      </c>
      <c r="E47" t="s">
        <v>9</v>
      </c>
      <c r="F47">
        <v>4</v>
      </c>
      <c r="G47" s="2">
        <v>1200</v>
      </c>
      <c r="H47" s="2">
        <f>SalesTable[[#This Row],[UnitsSold]]*SalesTable[[#This Row],[UnitPrice]]</f>
        <v>4800</v>
      </c>
      <c r="I47" t="str">
        <f>TEXT(SalesTable[[#This Row],[OrderDate]],"mmmm")</f>
        <v>March</v>
      </c>
      <c r="J47" t="str">
        <f>IF(SalesTable[[#This Row],[UnitsSold]]&gt;=8,"High","Low")</f>
        <v>Low</v>
      </c>
    </row>
    <row r="48" spans="1:10">
      <c r="A48">
        <v>1032</v>
      </c>
      <c r="B48" s="1">
        <v>45324</v>
      </c>
      <c r="C48" t="s">
        <v>16</v>
      </c>
      <c r="D48" t="s">
        <v>17</v>
      </c>
      <c r="E48" t="s">
        <v>12</v>
      </c>
      <c r="F48">
        <v>10</v>
      </c>
      <c r="G48" s="2">
        <v>450</v>
      </c>
      <c r="H48" s="2">
        <f>SalesTable[[#This Row],[UnitsSold]]*SalesTable[[#This Row],[UnitPrice]]</f>
        <v>4500</v>
      </c>
      <c r="I48" t="s">
        <v>27</v>
      </c>
      <c r="J48" t="str">
        <f>IF(SalesTable[[#This Row],[UnitsSold]]&gt;=8,"High","Low")</f>
        <v>High</v>
      </c>
    </row>
    <row r="49" spans="1:10">
      <c r="A49">
        <v>1053</v>
      </c>
      <c r="B49" s="1">
        <v>45345</v>
      </c>
      <c r="C49" t="s">
        <v>7</v>
      </c>
      <c r="D49" t="s">
        <v>8</v>
      </c>
      <c r="E49" t="s">
        <v>12</v>
      </c>
      <c r="F49">
        <v>10</v>
      </c>
      <c r="G49" s="2">
        <v>450</v>
      </c>
      <c r="H49" s="2">
        <f>SalesTable[[#This Row],[UnitsSold]]*SalesTable[[#This Row],[UnitPrice]]</f>
        <v>4500</v>
      </c>
      <c r="I49" t="str">
        <f>TEXT(SalesTable[[#This Row],[OrderDate]],"mmmm")</f>
        <v>February</v>
      </c>
      <c r="J49" t="str">
        <f>IF(SalesTable[[#This Row],[UnitsSold]]&gt;=8,"High","Low")</f>
        <v>High</v>
      </c>
    </row>
    <row r="50" spans="1:10">
      <c r="A50">
        <v>1014</v>
      </c>
      <c r="B50" s="1">
        <v>45305</v>
      </c>
      <c r="C50" t="s">
        <v>10</v>
      </c>
      <c r="D50" t="s">
        <v>11</v>
      </c>
      <c r="E50" t="s">
        <v>12</v>
      </c>
      <c r="F50">
        <v>9</v>
      </c>
      <c r="G50" s="2">
        <v>450</v>
      </c>
      <c r="H50" s="2">
        <f>SalesTable[[#This Row],[UnitsSold]]*SalesTable[[#This Row],[UnitPrice]]</f>
        <v>4050</v>
      </c>
      <c r="I50" t="str">
        <f>TEXT(SalesTable[[#This Row],[OrderDate]],"mmmm")</f>
        <v>January</v>
      </c>
      <c r="J50" t="str">
        <f>IF(SalesTable[[#This Row],[UnitsSold]]&gt;=8,"High","Low")</f>
        <v>High</v>
      </c>
    </row>
    <row r="51" spans="1:10">
      <c r="A51">
        <v>1029</v>
      </c>
      <c r="B51" s="1">
        <v>45320</v>
      </c>
      <c r="C51" t="s">
        <v>7</v>
      </c>
      <c r="D51" t="s">
        <v>8</v>
      </c>
      <c r="E51" t="s">
        <v>12</v>
      </c>
      <c r="F51">
        <v>9</v>
      </c>
      <c r="G51" s="2">
        <v>450</v>
      </c>
      <c r="H51" s="2">
        <f>SalesTable[[#This Row],[UnitsSold]]*SalesTable[[#This Row],[UnitPrice]]</f>
        <v>4050</v>
      </c>
      <c r="I51" t="s">
        <v>29</v>
      </c>
      <c r="J51" t="str">
        <f>IF(SalesTable[[#This Row],[UnitsSold]]&gt;=8,"High","Low")</f>
        <v>High</v>
      </c>
    </row>
    <row r="52" spans="1:10">
      <c r="A52">
        <v>1044</v>
      </c>
      <c r="B52" s="1">
        <v>45336</v>
      </c>
      <c r="C52" t="s">
        <v>16</v>
      </c>
      <c r="D52" t="s">
        <v>17</v>
      </c>
      <c r="E52" t="s">
        <v>12</v>
      </c>
      <c r="F52">
        <v>9</v>
      </c>
      <c r="G52" s="2">
        <v>450</v>
      </c>
      <c r="H52" s="2">
        <f>SalesTable[[#This Row],[UnitsSold]]*SalesTable[[#This Row],[UnitPrice]]</f>
        <v>4050</v>
      </c>
      <c r="I52" t="s">
        <v>30</v>
      </c>
      <c r="J52" t="str">
        <f>IF(SalesTable[[#This Row],[UnitsSold]]&gt;=8,"High","Low")</f>
        <v>High</v>
      </c>
    </row>
    <row r="53" spans="1:10">
      <c r="A53">
        <v>1059</v>
      </c>
      <c r="B53" s="1">
        <v>45352</v>
      </c>
      <c r="C53" t="s">
        <v>13</v>
      </c>
      <c r="D53" t="s">
        <v>14</v>
      </c>
      <c r="E53" t="s">
        <v>12</v>
      </c>
      <c r="F53">
        <v>9</v>
      </c>
      <c r="G53" s="2">
        <v>450</v>
      </c>
      <c r="H53" s="2">
        <f>SalesTable[[#This Row],[UnitsSold]]*SalesTable[[#This Row],[UnitPrice]]</f>
        <v>4050</v>
      </c>
      <c r="I53" t="str">
        <f>TEXT(SalesTable[[#This Row],[OrderDate]],"mmmm")</f>
        <v>March</v>
      </c>
      <c r="J53" t="str">
        <f>IF(SalesTable[[#This Row],[UnitsSold]]&gt;=8,"High","Low")</f>
        <v>High</v>
      </c>
    </row>
    <row r="54" spans="1:10">
      <c r="A54">
        <v>1074</v>
      </c>
      <c r="B54" s="1">
        <v>45367</v>
      </c>
      <c r="C54" t="s">
        <v>10</v>
      </c>
      <c r="D54" t="s">
        <v>11</v>
      </c>
      <c r="E54" t="s">
        <v>12</v>
      </c>
      <c r="F54">
        <v>9</v>
      </c>
      <c r="G54" s="2">
        <v>450</v>
      </c>
      <c r="H54" s="2">
        <f>SalesTable[[#This Row],[UnitsSold]]*SalesTable[[#This Row],[UnitPrice]]</f>
        <v>4050</v>
      </c>
      <c r="I54" t="s">
        <v>34</v>
      </c>
      <c r="J54" t="str">
        <f>IF(SalesTable[[#This Row],[UnitsSold]]&gt;=8,"High","Low")</f>
        <v>High</v>
      </c>
    </row>
    <row r="55" spans="1:10">
      <c r="A55">
        <v>1025</v>
      </c>
      <c r="B55" s="1">
        <v>45316</v>
      </c>
      <c r="C55" t="s">
        <v>7</v>
      </c>
      <c r="D55" t="s">
        <v>8</v>
      </c>
      <c r="E55" t="s">
        <v>15</v>
      </c>
      <c r="F55">
        <v>5</v>
      </c>
      <c r="G55" s="2">
        <v>800</v>
      </c>
      <c r="H55" s="2">
        <f>SalesTable[[#This Row],[UnitsSold]]*SalesTable[[#This Row],[UnitPrice]]</f>
        <v>4000</v>
      </c>
      <c r="I55" t="s">
        <v>32</v>
      </c>
      <c r="J55" t="str">
        <f>IF(SalesTable[[#This Row],[UnitsSold]]&gt;=8,"High","Low")</f>
        <v>Low</v>
      </c>
    </row>
    <row r="56" spans="1:10">
      <c r="A56">
        <v>1002</v>
      </c>
      <c r="B56" s="1">
        <v>45293</v>
      </c>
      <c r="C56" t="s">
        <v>10</v>
      </c>
      <c r="D56" t="s">
        <v>11</v>
      </c>
      <c r="E56" t="s">
        <v>12</v>
      </c>
      <c r="F56">
        <v>8</v>
      </c>
      <c r="G56" s="2">
        <v>450</v>
      </c>
      <c r="H56" s="2">
        <f>SalesTable[[#This Row],[UnitsSold]]*SalesTable[[#This Row],[UnitPrice]]</f>
        <v>3600</v>
      </c>
      <c r="I56" t="s">
        <v>35</v>
      </c>
      <c r="J56" t="str">
        <f>IF(SalesTable[[#This Row],[UnitsSold]]&gt;=8,"High","Low")</f>
        <v>High</v>
      </c>
    </row>
    <row r="57" spans="1:10">
      <c r="A57">
        <v>1004</v>
      </c>
      <c r="B57" s="1">
        <v>45295</v>
      </c>
      <c r="C57" t="s">
        <v>16</v>
      </c>
      <c r="D57" t="s">
        <v>17</v>
      </c>
      <c r="E57" t="s">
        <v>9</v>
      </c>
      <c r="F57">
        <v>3</v>
      </c>
      <c r="G57" s="2">
        <v>1200</v>
      </c>
      <c r="H57" s="2">
        <f>SalesTable[[#This Row],[UnitsSold]]*SalesTable[[#This Row],[UnitPrice]]</f>
        <v>3600</v>
      </c>
      <c r="I57" t="str">
        <f>TEXT(SalesTable[[#This Row],[OrderDate]],"mmmm")</f>
        <v>January</v>
      </c>
      <c r="J57" t="str">
        <f>IF(SalesTable[[#This Row],[UnitsSold]]&gt;=8,"High","Low")</f>
        <v>Low</v>
      </c>
    </row>
    <row r="58" spans="1:10">
      <c r="A58">
        <v>1018</v>
      </c>
      <c r="B58" s="1">
        <v>45309</v>
      </c>
      <c r="C58" t="s">
        <v>10</v>
      </c>
      <c r="D58" t="s">
        <v>11</v>
      </c>
      <c r="E58" t="s">
        <v>9</v>
      </c>
      <c r="F58">
        <v>3</v>
      </c>
      <c r="G58" s="2">
        <v>1200</v>
      </c>
      <c r="H58" s="2">
        <f>SalesTable[[#This Row],[UnitsSold]]*SalesTable[[#This Row],[UnitPrice]]</f>
        <v>3600</v>
      </c>
      <c r="I58" t="s">
        <v>27</v>
      </c>
      <c r="J58" t="str">
        <f>IF(SalesTable[[#This Row],[UnitsSold]]&gt;=8,"High","Low")</f>
        <v>Low</v>
      </c>
    </row>
    <row r="59" spans="1:10">
      <c r="A59">
        <v>1024</v>
      </c>
      <c r="B59" s="1">
        <v>45315</v>
      </c>
      <c r="C59" t="s">
        <v>16</v>
      </c>
      <c r="D59" t="s">
        <v>17</v>
      </c>
      <c r="E59" t="s">
        <v>12</v>
      </c>
      <c r="F59">
        <v>8</v>
      </c>
      <c r="G59" s="2">
        <v>450</v>
      </c>
      <c r="H59" s="2">
        <f>SalesTable[[#This Row],[UnitsSold]]*SalesTable[[#This Row],[UnitPrice]]</f>
        <v>3600</v>
      </c>
      <c r="I59" t="s">
        <v>28</v>
      </c>
      <c r="J59" t="str">
        <f>IF(SalesTable[[#This Row],[UnitsSold]]&gt;=8,"High","Low")</f>
        <v>High</v>
      </c>
    </row>
    <row r="60" spans="1:10">
      <c r="A60">
        <v>1033</v>
      </c>
      <c r="B60" s="1">
        <v>45325</v>
      </c>
      <c r="C60" t="s">
        <v>7</v>
      </c>
      <c r="D60" t="s">
        <v>8</v>
      </c>
      <c r="E60" t="s">
        <v>9</v>
      </c>
      <c r="F60">
        <v>3</v>
      </c>
      <c r="G60" s="2">
        <v>1200</v>
      </c>
      <c r="H60" s="2">
        <f>SalesTable[[#This Row],[UnitsSold]]*SalesTable[[#This Row],[UnitPrice]]</f>
        <v>3600</v>
      </c>
      <c r="I60" t="s">
        <v>33</v>
      </c>
      <c r="J60" t="str">
        <f>IF(SalesTable[[#This Row],[UnitsSold]]&gt;=8,"High","Low")</f>
        <v>Low</v>
      </c>
    </row>
    <row r="61" spans="1:10">
      <c r="A61">
        <v>1041</v>
      </c>
      <c r="B61" s="1">
        <v>45333</v>
      </c>
      <c r="C61" t="s">
        <v>7</v>
      </c>
      <c r="D61" t="s">
        <v>8</v>
      </c>
      <c r="E61" t="s">
        <v>12</v>
      </c>
      <c r="F61">
        <v>8</v>
      </c>
      <c r="G61" s="2">
        <v>450</v>
      </c>
      <c r="H61" s="2">
        <f>SalesTable[[#This Row],[UnitsSold]]*SalesTable[[#This Row],[UnitPrice]]</f>
        <v>3600</v>
      </c>
      <c r="I61" t="s">
        <v>31</v>
      </c>
      <c r="J61" t="str">
        <f>IF(SalesTable[[#This Row],[UnitsSold]]&gt;=8,"High","Low")</f>
        <v>High</v>
      </c>
    </row>
    <row r="62" spans="1:10">
      <c r="A62">
        <v>1048</v>
      </c>
      <c r="B62" s="1">
        <v>45340</v>
      </c>
      <c r="C62" t="s">
        <v>16</v>
      </c>
      <c r="D62" t="s">
        <v>17</v>
      </c>
      <c r="E62" t="s">
        <v>9</v>
      </c>
      <c r="F62">
        <v>3</v>
      </c>
      <c r="G62" s="2">
        <v>1200</v>
      </c>
      <c r="H62" s="2">
        <f>SalesTable[[#This Row],[UnitsSold]]*SalesTable[[#This Row],[UnitPrice]]</f>
        <v>3600</v>
      </c>
      <c r="I62" t="str">
        <f>TEXT(SalesTable[[#This Row],[OrderDate]],"mmmm")</f>
        <v>February</v>
      </c>
      <c r="J62" t="str">
        <f>IF(SalesTable[[#This Row],[UnitsSold]]&gt;=8,"High","Low")</f>
        <v>Low</v>
      </c>
    </row>
    <row r="63" spans="1:10">
      <c r="A63">
        <v>1062</v>
      </c>
      <c r="B63" s="1">
        <v>45355</v>
      </c>
      <c r="C63" t="s">
        <v>10</v>
      </c>
      <c r="D63" t="s">
        <v>11</v>
      </c>
      <c r="E63" t="s">
        <v>12</v>
      </c>
      <c r="F63">
        <v>8</v>
      </c>
      <c r="G63" s="2">
        <v>450</v>
      </c>
      <c r="H63" s="2">
        <f>SalesTable[[#This Row],[UnitsSold]]*SalesTable[[#This Row],[UnitPrice]]</f>
        <v>3600</v>
      </c>
      <c r="I63" t="s">
        <v>29</v>
      </c>
      <c r="J63" t="str">
        <f>IF(SalesTable[[#This Row],[UnitsSold]]&gt;=8,"High","Low")</f>
        <v>High</v>
      </c>
    </row>
    <row r="64" spans="1:10">
      <c r="A64">
        <v>1069</v>
      </c>
      <c r="B64" s="1">
        <v>45362</v>
      </c>
      <c r="C64" t="s">
        <v>7</v>
      </c>
      <c r="D64" t="s">
        <v>8</v>
      </c>
      <c r="E64" t="s">
        <v>9</v>
      </c>
      <c r="F64">
        <v>3</v>
      </c>
      <c r="G64" s="2">
        <v>1200</v>
      </c>
      <c r="H64" s="2">
        <f>SalesTable[[#This Row],[UnitsSold]]*SalesTable[[#This Row],[UnitPrice]]</f>
        <v>3600</v>
      </c>
      <c r="I64" t="str">
        <f>TEXT(SalesTable[[#This Row],[OrderDate]],"mmmm")</f>
        <v>March</v>
      </c>
      <c r="J64" t="str">
        <f>IF(SalesTable[[#This Row],[UnitsSold]]&gt;=8,"High","Low")</f>
        <v>Low</v>
      </c>
    </row>
    <row r="65" spans="1:10">
      <c r="A65">
        <v>1077</v>
      </c>
      <c r="B65" s="1">
        <v>45370</v>
      </c>
      <c r="C65" t="s">
        <v>7</v>
      </c>
      <c r="D65" t="s">
        <v>8</v>
      </c>
      <c r="E65" t="s">
        <v>12</v>
      </c>
      <c r="F65">
        <v>8</v>
      </c>
      <c r="G65" s="2">
        <v>450</v>
      </c>
      <c r="H65" s="2">
        <f>SalesTable[[#This Row],[UnitsSold]]*SalesTable[[#This Row],[UnitPrice]]</f>
        <v>3600</v>
      </c>
      <c r="I65" t="str">
        <f>TEXT(SalesTable[[#This Row],[OrderDate]],"mmmm")</f>
        <v>March</v>
      </c>
      <c r="J65" t="str">
        <f>IF(SalesTable[[#This Row],[UnitsSold]]&gt;=8,"High","Low")</f>
        <v>High</v>
      </c>
    </row>
    <row r="66" spans="1:10">
      <c r="A66">
        <v>1007</v>
      </c>
      <c r="B66" s="1">
        <v>45298</v>
      </c>
      <c r="C66" t="s">
        <v>13</v>
      </c>
      <c r="D66" t="s">
        <v>14</v>
      </c>
      <c r="E66" t="s">
        <v>12</v>
      </c>
      <c r="F66">
        <v>7</v>
      </c>
      <c r="G66" s="2">
        <v>450</v>
      </c>
      <c r="H66" s="2">
        <f>SalesTable[[#This Row],[UnitsSold]]*SalesTable[[#This Row],[UnitPrice]]</f>
        <v>3150</v>
      </c>
      <c r="I66" t="s">
        <v>34</v>
      </c>
      <c r="J66" t="str">
        <f>IF(SalesTable[[#This Row],[UnitsSold]]&gt;=8,"High","Low")</f>
        <v>Low</v>
      </c>
    </row>
    <row r="67" spans="1:10">
      <c r="A67">
        <v>1026</v>
      </c>
      <c r="B67" s="1">
        <v>45317</v>
      </c>
      <c r="C67" t="s">
        <v>10</v>
      </c>
      <c r="D67" t="s">
        <v>11</v>
      </c>
      <c r="E67" t="s">
        <v>12</v>
      </c>
      <c r="F67">
        <v>7</v>
      </c>
      <c r="G67" s="2">
        <v>450</v>
      </c>
      <c r="H67" s="2">
        <f>SalesTable[[#This Row],[UnitsSold]]*SalesTable[[#This Row],[UnitPrice]]</f>
        <v>3150</v>
      </c>
      <c r="I67" t="s">
        <v>27</v>
      </c>
      <c r="J67" t="str">
        <f>IF(SalesTable[[#This Row],[UnitsSold]]&gt;=8,"High","Low")</f>
        <v>Low</v>
      </c>
    </row>
    <row r="68" spans="1:10">
      <c r="A68">
        <v>1035</v>
      </c>
      <c r="B68" s="1">
        <v>45327</v>
      </c>
      <c r="C68" t="s">
        <v>13</v>
      </c>
      <c r="D68" t="s">
        <v>14</v>
      </c>
      <c r="E68" t="s">
        <v>12</v>
      </c>
      <c r="F68">
        <v>7</v>
      </c>
      <c r="G68" s="2">
        <v>450</v>
      </c>
      <c r="H68" s="2">
        <f>SalesTable[[#This Row],[UnitsSold]]*SalesTable[[#This Row],[UnitPrice]]</f>
        <v>3150</v>
      </c>
      <c r="I68" t="str">
        <f>TEXT(SalesTable[[#This Row],[OrderDate]],"mmmm")</f>
        <v>February</v>
      </c>
      <c r="J68" t="str">
        <f>IF(SalesTable[[#This Row],[UnitsSold]]&gt;=8,"High","Low")</f>
        <v>Low</v>
      </c>
    </row>
    <row r="69" spans="1:10">
      <c r="A69">
        <v>1050</v>
      </c>
      <c r="B69" s="1">
        <v>45342</v>
      </c>
      <c r="C69" t="s">
        <v>10</v>
      </c>
      <c r="D69" t="s">
        <v>11</v>
      </c>
      <c r="E69" t="s">
        <v>12</v>
      </c>
      <c r="F69">
        <v>7</v>
      </c>
      <c r="G69" s="2">
        <v>450</v>
      </c>
      <c r="H69" s="2">
        <f>SalesTable[[#This Row],[UnitsSold]]*SalesTable[[#This Row],[UnitPrice]]</f>
        <v>3150</v>
      </c>
      <c r="I69" t="str">
        <f>TEXT(SalesTable[[#This Row],[OrderDate]],"mmmm")</f>
        <v>February</v>
      </c>
      <c r="J69" t="str">
        <f>IF(SalesTable[[#This Row],[UnitsSold]]&gt;=8,"High","Low")</f>
        <v>Low</v>
      </c>
    </row>
    <row r="70" spans="1:10">
      <c r="A70">
        <v>1068</v>
      </c>
      <c r="B70" s="1">
        <v>45361</v>
      </c>
      <c r="C70" t="s">
        <v>16</v>
      </c>
      <c r="D70" t="s">
        <v>17</v>
      </c>
      <c r="E70" t="s">
        <v>12</v>
      </c>
      <c r="F70">
        <v>7</v>
      </c>
      <c r="G70" s="2">
        <v>450</v>
      </c>
      <c r="H70" s="2">
        <f>SalesTable[[#This Row],[UnitsSold]]*SalesTable[[#This Row],[UnitPrice]]</f>
        <v>3150</v>
      </c>
      <c r="I70" t="str">
        <f>TEXT(SalesTable[[#This Row],[OrderDate]],"mmmm")</f>
        <v>March</v>
      </c>
      <c r="J70" t="str">
        <f>IF(SalesTable[[#This Row],[UnitsSold]]&gt;=8,"High","Low")</f>
        <v>Low</v>
      </c>
    </row>
    <row r="71" spans="1:10">
      <c r="A71">
        <v>1080</v>
      </c>
      <c r="B71" s="1">
        <v>45373</v>
      </c>
      <c r="C71" t="s">
        <v>16</v>
      </c>
      <c r="D71" t="s">
        <v>17</v>
      </c>
      <c r="E71" t="s">
        <v>12</v>
      </c>
      <c r="F71">
        <v>7</v>
      </c>
      <c r="G71" s="2">
        <v>450</v>
      </c>
      <c r="H71" s="2">
        <f>SalesTable[[#This Row],[UnitsSold]]*SalesTable[[#This Row],[UnitPrice]]</f>
        <v>3150</v>
      </c>
      <c r="I71" t="s">
        <v>28</v>
      </c>
      <c r="J71" t="str">
        <f>IF(SalesTable[[#This Row],[UnitsSold]]&gt;=8,"High","Low")</f>
        <v>Low</v>
      </c>
    </row>
    <row r="72" spans="1:10">
      <c r="A72">
        <v>1012</v>
      </c>
      <c r="B72" s="1">
        <v>45303</v>
      </c>
      <c r="C72" t="s">
        <v>16</v>
      </c>
      <c r="D72" t="s">
        <v>17</v>
      </c>
      <c r="E72" t="s">
        <v>12</v>
      </c>
      <c r="F72">
        <v>6</v>
      </c>
      <c r="G72" s="2">
        <v>450</v>
      </c>
      <c r="H72" s="2">
        <f>SalesTable[[#This Row],[UnitsSold]]*SalesTable[[#This Row],[UnitPrice]]</f>
        <v>2700</v>
      </c>
      <c r="I72" t="str">
        <f>TEXT(SalesTable[[#This Row],[OrderDate]],"mmmm")</f>
        <v>January</v>
      </c>
      <c r="J72" t="str">
        <f>IF(SalesTable[[#This Row],[UnitsSold]]&gt;=8,"High","Low")</f>
        <v>Low</v>
      </c>
    </row>
    <row r="73" spans="1:10">
      <c r="A73">
        <v>1019</v>
      </c>
      <c r="B73" s="1">
        <v>45310</v>
      </c>
      <c r="C73" t="s">
        <v>13</v>
      </c>
      <c r="D73" t="s">
        <v>14</v>
      </c>
      <c r="E73" t="s">
        <v>12</v>
      </c>
      <c r="F73">
        <v>6</v>
      </c>
      <c r="G73" s="2">
        <v>450</v>
      </c>
      <c r="H73" s="2">
        <f>SalesTable[[#This Row],[UnitsSold]]*SalesTable[[#This Row],[UnitPrice]]</f>
        <v>2700</v>
      </c>
      <c r="I73" t="s">
        <v>31</v>
      </c>
      <c r="J73" t="str">
        <f>IF(SalesTable[[#This Row],[UnitsSold]]&gt;=8,"High","Low")</f>
        <v>Low</v>
      </c>
    </row>
    <row r="74" spans="1:10">
      <c r="A74">
        <v>1038</v>
      </c>
      <c r="B74" s="1">
        <v>45330</v>
      </c>
      <c r="C74" t="s">
        <v>10</v>
      </c>
      <c r="D74" t="s">
        <v>11</v>
      </c>
      <c r="E74" t="s">
        <v>12</v>
      </c>
      <c r="F74">
        <v>6</v>
      </c>
      <c r="G74" s="2">
        <v>450</v>
      </c>
      <c r="H74" s="2">
        <f>SalesTable[[#This Row],[UnitsSold]]*SalesTable[[#This Row],[UnitPrice]]</f>
        <v>2700</v>
      </c>
      <c r="I74" t="str">
        <f>TEXT(SalesTable[[#This Row],[OrderDate]],"mmmm")</f>
        <v>February</v>
      </c>
      <c r="J74" t="str">
        <f>IF(SalesTable[[#This Row],[UnitsSold]]&gt;=8,"High","Low")</f>
        <v>Low</v>
      </c>
    </row>
    <row r="75" spans="1:10">
      <c r="A75">
        <v>1056</v>
      </c>
      <c r="B75" s="1">
        <v>45348</v>
      </c>
      <c r="C75" t="s">
        <v>16</v>
      </c>
      <c r="D75" t="s">
        <v>17</v>
      </c>
      <c r="E75" t="s">
        <v>12</v>
      </c>
      <c r="F75">
        <v>6</v>
      </c>
      <c r="G75" s="2">
        <v>450</v>
      </c>
      <c r="H75" s="2">
        <f>SalesTable[[#This Row],[UnitsSold]]*SalesTable[[#This Row],[UnitPrice]]</f>
        <v>2700</v>
      </c>
      <c r="I75" t="str">
        <f>TEXT(SalesTable[[#This Row],[OrderDate]],"mmmm")</f>
        <v>February</v>
      </c>
      <c r="J75" t="str">
        <f>IF(SalesTable[[#This Row],[UnitsSold]]&gt;=8,"High","Low")</f>
        <v>Low</v>
      </c>
    </row>
    <row r="76" spans="1:10">
      <c r="A76">
        <v>1071</v>
      </c>
      <c r="B76" s="1">
        <v>45364</v>
      </c>
      <c r="C76" t="s">
        <v>13</v>
      </c>
      <c r="D76" t="s">
        <v>14</v>
      </c>
      <c r="E76" t="s">
        <v>12</v>
      </c>
      <c r="F76">
        <v>6</v>
      </c>
      <c r="G76" s="2">
        <v>450</v>
      </c>
      <c r="H76" s="2">
        <f>SalesTable[[#This Row],[UnitsSold]]*SalesTable[[#This Row],[UnitPrice]]</f>
        <v>2700</v>
      </c>
      <c r="I76" t="str">
        <f>TEXT(SalesTable[[#This Row],[OrderDate]],"mmmm")</f>
        <v>March</v>
      </c>
      <c r="J76" t="str">
        <f>IF(SalesTable[[#This Row],[UnitsSold]]&gt;=8,"High","Low")</f>
        <v>Low</v>
      </c>
    </row>
    <row r="77" spans="1:10">
      <c r="A77">
        <v>1011</v>
      </c>
      <c r="B77" s="1">
        <v>45302</v>
      </c>
      <c r="C77" t="s">
        <v>13</v>
      </c>
      <c r="D77" t="s">
        <v>14</v>
      </c>
      <c r="E77" t="s">
        <v>9</v>
      </c>
      <c r="F77">
        <v>2</v>
      </c>
      <c r="G77" s="2">
        <v>1200</v>
      </c>
      <c r="H77" s="2">
        <f>SalesTable[[#This Row],[UnitsSold]]*SalesTable[[#This Row],[UnitPrice]]</f>
        <v>2400</v>
      </c>
      <c r="I77" t="s">
        <v>35</v>
      </c>
      <c r="J77" t="str">
        <f>IF(SalesTable[[#This Row],[UnitsSold]]&gt;=8,"High","Low")</f>
        <v>Low</v>
      </c>
    </row>
    <row r="78" spans="1:10">
      <c r="A78">
        <v>1028</v>
      </c>
      <c r="B78" s="1">
        <v>45319</v>
      </c>
      <c r="C78" t="s">
        <v>16</v>
      </c>
      <c r="D78" t="s">
        <v>17</v>
      </c>
      <c r="E78" t="s">
        <v>9</v>
      </c>
      <c r="F78">
        <v>2</v>
      </c>
      <c r="G78" s="2">
        <v>1200</v>
      </c>
      <c r="H78" s="2">
        <f>SalesTable[[#This Row],[UnitsSold]]*SalesTable[[#This Row],[UnitPrice]]</f>
        <v>2400</v>
      </c>
      <c r="I78" t="s">
        <v>34</v>
      </c>
      <c r="J78" t="str">
        <f>IF(SalesTable[[#This Row],[UnitsSold]]&gt;=8,"High","Low")</f>
        <v>Low</v>
      </c>
    </row>
    <row r="79" spans="1:10">
      <c r="A79">
        <v>1009</v>
      </c>
      <c r="B79" s="1">
        <v>45300</v>
      </c>
      <c r="C79" t="s">
        <v>7</v>
      </c>
      <c r="D79" t="s">
        <v>8</v>
      </c>
      <c r="E79" t="s">
        <v>12</v>
      </c>
      <c r="F79">
        <v>5</v>
      </c>
      <c r="G79" s="2">
        <v>450</v>
      </c>
      <c r="H79" s="2">
        <f>SalesTable[[#This Row],[UnitsSold]]*SalesTable[[#This Row],[UnitPrice]]</f>
        <v>2250</v>
      </c>
      <c r="I79" t="s">
        <v>30</v>
      </c>
      <c r="J79" t="str">
        <f>IF(SalesTable[[#This Row],[UnitsSold]]&gt;=8,"High","Low")</f>
        <v>Low</v>
      </c>
    </row>
    <row r="80" spans="1:10">
      <c r="A80">
        <v>1047</v>
      </c>
      <c r="B80" s="1">
        <v>45339</v>
      </c>
      <c r="C80" t="s">
        <v>13</v>
      </c>
      <c r="D80" t="s">
        <v>14</v>
      </c>
      <c r="E80" t="s">
        <v>12</v>
      </c>
      <c r="F80">
        <v>5</v>
      </c>
      <c r="G80" s="2">
        <v>450</v>
      </c>
      <c r="H80" s="2">
        <f>SalesTable[[#This Row],[UnitsSold]]*SalesTable[[#This Row],[UnitPrice]]</f>
        <v>2250</v>
      </c>
      <c r="I80" t="s">
        <v>28</v>
      </c>
      <c r="J80" t="str">
        <f>IF(SalesTable[[#This Row],[UnitsSold]]&gt;=8,"High","Low")</f>
        <v>Low</v>
      </c>
    </row>
    <row r="81" spans="1:10">
      <c r="A81">
        <v>1065</v>
      </c>
      <c r="B81" s="1">
        <v>45358</v>
      </c>
      <c r="C81" t="s">
        <v>7</v>
      </c>
      <c r="D81" t="s">
        <v>8</v>
      </c>
      <c r="E81" t="s">
        <v>12</v>
      </c>
      <c r="F81">
        <v>5</v>
      </c>
      <c r="G81" s="2">
        <v>450</v>
      </c>
      <c r="H81" s="2">
        <f>SalesTable[[#This Row],[UnitsSold]]*SalesTable[[#This Row],[UnitPrice]]</f>
        <v>2250</v>
      </c>
      <c r="I81" t="str">
        <f>TEXT(SalesTable[[#This Row],[OrderDate]],"mmmm")</f>
        <v>March</v>
      </c>
      <c r="J81" t="str">
        <f>IF(SalesTable[[#This Row],[UnitsSold]]&gt;=8,"High","Low")</f>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9EAF-6396-4273-B896-21C7773224F2}">
  <dimension ref="A1:J25"/>
  <sheetViews>
    <sheetView workbookViewId="0">
      <selection activeCell="A13" sqref="A13:B25"/>
    </sheetView>
  </sheetViews>
  <sheetFormatPr defaultRowHeight="14.4"/>
  <cols>
    <col min="1" max="1" width="10.5546875" bestFit="1" customWidth="1"/>
    <col min="2" max="2" width="14.44140625" bestFit="1" customWidth="1"/>
    <col min="4" max="4" width="20.21875" bestFit="1" customWidth="1"/>
    <col min="5" max="5" width="7" bestFit="1" customWidth="1"/>
    <col min="7" max="7" width="12" bestFit="1" customWidth="1"/>
    <col min="8" max="9" width="20.21875" bestFit="1" customWidth="1"/>
    <col min="10" max="10" width="7" bestFit="1" customWidth="1"/>
    <col min="15" max="15" width="20.21875" bestFit="1" customWidth="1"/>
    <col min="16" max="16" width="7" bestFit="1" customWidth="1"/>
  </cols>
  <sheetData>
    <row r="1" spans="1:10" s="3" customFormat="1">
      <c r="A1" s="3" t="s">
        <v>2</v>
      </c>
      <c r="B1" s="3" t="s">
        <v>18</v>
      </c>
      <c r="G1" s="6" t="s">
        <v>4</v>
      </c>
      <c r="H1" s="6" t="s">
        <v>21</v>
      </c>
    </row>
    <row r="2" spans="1:10">
      <c r="A2" s="5" t="s">
        <v>7</v>
      </c>
      <c r="B2" s="5">
        <f>SUMIFS(SalesTable[Total Sales],SalesTable[Region],A2)</f>
        <v>95850</v>
      </c>
      <c r="G2" s="5" t="s">
        <v>9</v>
      </c>
      <c r="H2" s="5">
        <f>COUNTIFS(SalesTable[Product],G2)</f>
        <v>27</v>
      </c>
    </row>
    <row r="3" spans="1:10">
      <c r="A3" s="5" t="s">
        <v>10</v>
      </c>
      <c r="B3" s="5">
        <f>SUMIFS(SalesTable[Total Sales],SalesTable[Region],A3)</f>
        <v>111900</v>
      </c>
      <c r="G3" s="5" t="s">
        <v>15</v>
      </c>
      <c r="H3" s="5">
        <f>COUNTIFS(SalesTable[Product],G3)</f>
        <v>27</v>
      </c>
    </row>
    <row r="4" spans="1:10">
      <c r="A4" s="5" t="s">
        <v>13</v>
      </c>
      <c r="B4" s="5">
        <f>SUMIFS(SalesTable[Total Sales],SalesTable[Region],A4)</f>
        <v>106400</v>
      </c>
      <c r="G4" s="5" t="s">
        <v>12</v>
      </c>
      <c r="H4" s="5">
        <f>COUNTIFS(SalesTable[Product],G4)</f>
        <v>26</v>
      </c>
    </row>
    <row r="5" spans="1:10">
      <c r="A5" s="5" t="s">
        <v>16</v>
      </c>
      <c r="B5" s="5">
        <f>SUMIFS(SalesTable[Total Sales],SalesTable[Region],A5)</f>
        <v>99850</v>
      </c>
    </row>
    <row r="11" spans="1:10">
      <c r="B11" s="5"/>
    </row>
    <row r="13" spans="1:10">
      <c r="A13" s="6" t="s">
        <v>19</v>
      </c>
      <c r="B13" s="6" t="s">
        <v>18</v>
      </c>
    </row>
    <row r="14" spans="1:10">
      <c r="A14" t="s">
        <v>24</v>
      </c>
      <c r="B14">
        <f>SUMIFS(SalesTable[Total Sales],SalesTable[Month],A14)</f>
        <v>60750</v>
      </c>
      <c r="I14" s="3" t="s">
        <v>22</v>
      </c>
      <c r="J14">
        <f>MAX(B2:B5)</f>
        <v>111900</v>
      </c>
    </row>
    <row r="15" spans="1:10">
      <c r="A15" t="s">
        <v>25</v>
      </c>
      <c r="B15">
        <f>SUMIFS(SalesTable[Total Sales],SalesTable[Month],A15)</f>
        <v>57000</v>
      </c>
    </row>
    <row r="16" spans="1:10">
      <c r="A16" t="s">
        <v>26</v>
      </c>
      <c r="B16">
        <f>SUMIFS(SalesTable[Total Sales],SalesTable[Month],A16)</f>
        <v>67350</v>
      </c>
      <c r="I16" s="3" t="s">
        <v>23</v>
      </c>
      <c r="J16">
        <f>AVERAGE(SalesTable[Total Sales])</f>
        <v>5175</v>
      </c>
    </row>
    <row r="17" spans="1:2">
      <c r="A17" t="s">
        <v>27</v>
      </c>
      <c r="B17">
        <f>SUMIFS(SalesTable[Total Sales],SalesTable[Month],A17)</f>
        <v>41650</v>
      </c>
    </row>
    <row r="18" spans="1:2">
      <c r="A18" t="s">
        <v>28</v>
      </c>
      <c r="B18">
        <f>SUMIFS(SalesTable[Total Sales],SalesTable[Month],A18)</f>
        <v>41800</v>
      </c>
    </row>
    <row r="19" spans="1:2">
      <c r="A19" t="s">
        <v>29</v>
      </c>
      <c r="B19">
        <f>SUMIFS(SalesTable[Total Sales],SalesTable[Month],A19)</f>
        <v>29250</v>
      </c>
    </row>
    <row r="20" spans="1:2">
      <c r="A20" t="s">
        <v>30</v>
      </c>
      <c r="B20">
        <f>SUMIFS(SalesTable[Total Sales],SalesTable[Month],A20)</f>
        <v>20300</v>
      </c>
    </row>
    <row r="21" spans="1:2">
      <c r="A21" t="s">
        <v>31</v>
      </c>
      <c r="B21">
        <f>SUMIFS(SalesTable[Total Sales],SalesTable[Month],A21)</f>
        <v>24700</v>
      </c>
    </row>
    <row r="22" spans="1:2">
      <c r="A22" t="s">
        <v>32</v>
      </c>
      <c r="B22">
        <f>SUMIFS(SalesTable[Total Sales],SalesTable[Month],A22)</f>
        <v>4000</v>
      </c>
    </row>
    <row r="23" spans="1:2">
      <c r="A23" t="s">
        <v>33</v>
      </c>
      <c r="B23">
        <f>SUMIFS(SalesTable[Total Sales],SalesTable[Month],A23)</f>
        <v>29600</v>
      </c>
    </row>
    <row r="24" spans="1:2">
      <c r="A24" t="s">
        <v>34</v>
      </c>
      <c r="B24">
        <f>SUMIFS(SalesTable[Total Sales],SalesTable[Month],A24)</f>
        <v>20800</v>
      </c>
    </row>
    <row r="25" spans="1:2">
      <c r="A25" t="s">
        <v>35</v>
      </c>
      <c r="B25">
        <f>SUMIFS(SalesTable[Total Sales],SalesTable[Month],A25)</f>
        <v>16800</v>
      </c>
    </row>
  </sheetData>
  <phoneticPr fontId="2" type="noConversion"/>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58B6-4BC3-4B5A-9CFC-1F561C225F3D}">
  <dimension ref="A1:J81"/>
  <sheetViews>
    <sheetView workbookViewId="0">
      <selection activeCell="C4" sqref="C4"/>
    </sheetView>
  </sheetViews>
  <sheetFormatPr defaultRowHeight="14.4"/>
  <cols>
    <col min="1" max="1" width="7.33203125" bestFit="1" customWidth="1"/>
    <col min="2" max="2" width="10.33203125" bestFit="1" customWidth="1"/>
    <col min="3" max="3" width="6.44140625" bestFit="1" customWidth="1"/>
    <col min="4" max="4" width="8.44140625" bestFit="1" customWidth="1"/>
    <col min="5" max="5" width="7.33203125" bestFit="1" customWidth="1"/>
    <col min="6" max="6" width="8.5546875" bestFit="1" customWidth="1"/>
    <col min="7" max="7" width="10.44140625" style="2" bestFit="1" customWidth="1"/>
    <col min="8" max="8" width="10.88671875" style="2" bestFit="1" customWidth="1"/>
    <col min="9" max="9" width="8.44140625" bestFit="1" customWidth="1"/>
    <col min="10" max="10" width="11.6640625" bestFit="1" customWidth="1"/>
  </cols>
  <sheetData>
    <row r="1" spans="1:10" s="3" customFormat="1">
      <c r="A1" s="3" t="s">
        <v>0</v>
      </c>
      <c r="B1" s="3" t="s">
        <v>1</v>
      </c>
      <c r="C1" s="3" t="s">
        <v>2</v>
      </c>
      <c r="D1" s="3" t="s">
        <v>3</v>
      </c>
      <c r="E1" s="3" t="s">
        <v>4</v>
      </c>
      <c r="F1" s="3" t="s">
        <v>5</v>
      </c>
      <c r="G1" s="4" t="s">
        <v>6</v>
      </c>
      <c r="H1" s="4" t="s">
        <v>18</v>
      </c>
      <c r="I1" s="3" t="s">
        <v>19</v>
      </c>
      <c r="J1" s="3" t="s">
        <v>20</v>
      </c>
    </row>
    <row r="2" spans="1:10">
      <c r="A2">
        <v>1010</v>
      </c>
      <c r="B2" s="1">
        <v>45301</v>
      </c>
      <c r="C2" t="s">
        <v>10</v>
      </c>
      <c r="D2" t="s">
        <v>11</v>
      </c>
      <c r="E2" t="s">
        <v>15</v>
      </c>
      <c r="F2">
        <v>11</v>
      </c>
      <c r="G2" s="2">
        <v>800</v>
      </c>
      <c r="H2" s="2">
        <f>SalesTable5[[#This Row],[UnitsSold]]*SalesTable5[[#This Row],[UnitPrice]]</f>
        <v>8800</v>
      </c>
      <c r="I2" t="str">
        <f>TEXT(SalesTable5[[#This Row],[OrderDate]],"mmmm")</f>
        <v>January</v>
      </c>
      <c r="J2" t="str">
        <f>IF(SalesTable5[[#This Row],[UnitsSold]]&gt;=8,"High","Low")</f>
        <v>High</v>
      </c>
    </row>
    <row r="3" spans="1:10">
      <c r="A3">
        <v>1027</v>
      </c>
      <c r="B3" s="1">
        <v>45318</v>
      </c>
      <c r="C3" t="s">
        <v>13</v>
      </c>
      <c r="D3" t="s">
        <v>14</v>
      </c>
      <c r="E3" t="s">
        <v>15</v>
      </c>
      <c r="F3">
        <v>11</v>
      </c>
      <c r="G3" s="2">
        <v>800</v>
      </c>
      <c r="H3" s="2">
        <f>SalesTable5[[#This Row],[UnitsSold]]*SalesTable5[[#This Row],[UnitPrice]]</f>
        <v>8800</v>
      </c>
      <c r="I3" t="str">
        <f>TEXT(SalesTable5[[#This Row],[OrderDate]],"mmmm")</f>
        <v>January</v>
      </c>
      <c r="J3" t="str">
        <f>IF(SalesTable5[[#This Row],[UnitsSold]]&gt;=8,"High","Low")</f>
        <v>High</v>
      </c>
    </row>
    <row r="4" spans="1:10">
      <c r="A4">
        <v>1040</v>
      </c>
      <c r="B4" s="1">
        <v>45332</v>
      </c>
      <c r="C4" t="s">
        <v>16</v>
      </c>
      <c r="D4" t="s">
        <v>17</v>
      </c>
      <c r="E4" t="s">
        <v>15</v>
      </c>
      <c r="F4">
        <v>11</v>
      </c>
      <c r="G4" s="2">
        <v>800</v>
      </c>
      <c r="H4" s="2">
        <f>SalesTable5[[#This Row],[UnitsSold]]*SalesTable5[[#This Row],[UnitPrice]]</f>
        <v>8800</v>
      </c>
      <c r="I4" t="str">
        <f>TEXT(SalesTable5[[#This Row],[OrderDate]],"mmmm")</f>
        <v>February</v>
      </c>
      <c r="J4" t="str">
        <f>IF(SalesTable5[[#This Row],[UnitsSold]]&gt;=8,"High","Low")</f>
        <v>High</v>
      </c>
    </row>
    <row r="5" spans="1:10">
      <c r="A5">
        <v>1058</v>
      </c>
      <c r="B5" s="1">
        <v>45350</v>
      </c>
      <c r="C5" t="s">
        <v>10</v>
      </c>
      <c r="D5" t="s">
        <v>11</v>
      </c>
      <c r="E5" t="s">
        <v>15</v>
      </c>
      <c r="F5">
        <v>11</v>
      </c>
      <c r="G5" s="2">
        <v>800</v>
      </c>
      <c r="H5" s="2">
        <f>SalesTable5[[#This Row],[UnitsSold]]*SalesTable5[[#This Row],[UnitPrice]]</f>
        <v>8800</v>
      </c>
      <c r="I5" t="str">
        <f>TEXT(SalesTable5[[#This Row],[OrderDate]],"mmmm")</f>
        <v>February</v>
      </c>
      <c r="J5" t="str">
        <f>IF(SalesTable5[[#This Row],[UnitsSold]]&gt;=8,"High","Low")</f>
        <v>High</v>
      </c>
    </row>
    <row r="6" spans="1:10">
      <c r="A6">
        <v>1063</v>
      </c>
      <c r="B6" s="1">
        <v>45356</v>
      </c>
      <c r="C6" t="s">
        <v>13</v>
      </c>
      <c r="D6" t="s">
        <v>14</v>
      </c>
      <c r="E6" t="s">
        <v>9</v>
      </c>
      <c r="F6">
        <v>7</v>
      </c>
      <c r="G6" s="2">
        <v>1200</v>
      </c>
      <c r="H6" s="2">
        <f>SalesTable5[[#This Row],[UnitsSold]]*SalesTable5[[#This Row],[UnitPrice]]</f>
        <v>8400</v>
      </c>
      <c r="I6" t="str">
        <f>TEXT(SalesTable5[[#This Row],[OrderDate]],"mmmm")</f>
        <v>March</v>
      </c>
      <c r="J6" t="str">
        <f>IF(SalesTable5[[#This Row],[UnitsSold]]&gt;=8,"High","Low")</f>
        <v>Low</v>
      </c>
    </row>
    <row r="7" spans="1:10">
      <c r="A7">
        <v>1003</v>
      </c>
      <c r="B7" s="1">
        <v>45294</v>
      </c>
      <c r="C7" t="s">
        <v>13</v>
      </c>
      <c r="D7" t="s">
        <v>14</v>
      </c>
      <c r="E7" t="s">
        <v>15</v>
      </c>
      <c r="F7">
        <v>10</v>
      </c>
      <c r="G7" s="2">
        <v>800</v>
      </c>
      <c r="H7" s="2">
        <f>SalesTable5[[#This Row],[UnitsSold]]*SalesTable5[[#This Row],[UnitPrice]]</f>
        <v>8000</v>
      </c>
      <c r="I7" t="str">
        <f>TEXT(SalesTable5[[#This Row],[OrderDate]],"mmmm")</f>
        <v>January</v>
      </c>
      <c r="J7" t="str">
        <f>IF(SalesTable5[[#This Row],[UnitsSold]]&gt;=8,"High","Low")</f>
        <v>High</v>
      </c>
    </row>
    <row r="8" spans="1:10">
      <c r="A8">
        <v>1020</v>
      </c>
      <c r="B8" s="1">
        <v>45311</v>
      </c>
      <c r="C8" t="s">
        <v>16</v>
      </c>
      <c r="D8" t="s">
        <v>17</v>
      </c>
      <c r="E8" t="s">
        <v>15</v>
      </c>
      <c r="F8">
        <v>10</v>
      </c>
      <c r="G8" s="2">
        <v>800</v>
      </c>
      <c r="H8" s="2">
        <f>SalesTable5[[#This Row],[UnitsSold]]*SalesTable5[[#This Row],[UnitPrice]]</f>
        <v>8000</v>
      </c>
      <c r="I8" t="str">
        <f>TEXT(SalesTable5[[#This Row],[OrderDate]],"mmmm")</f>
        <v>January</v>
      </c>
      <c r="J8" t="str">
        <f>IF(SalesTable5[[#This Row],[UnitsSold]]&gt;=8,"High","Low")</f>
        <v>High</v>
      </c>
    </row>
    <row r="9" spans="1:10">
      <c r="A9">
        <v>1046</v>
      </c>
      <c r="B9" s="1">
        <v>45338</v>
      </c>
      <c r="C9" t="s">
        <v>10</v>
      </c>
      <c r="D9" t="s">
        <v>11</v>
      </c>
      <c r="E9" t="s">
        <v>15</v>
      </c>
      <c r="F9">
        <v>10</v>
      </c>
      <c r="G9" s="2">
        <v>800</v>
      </c>
      <c r="H9" s="2">
        <f>SalesTable5[[#This Row],[UnitsSold]]*SalesTable5[[#This Row],[UnitPrice]]</f>
        <v>8000</v>
      </c>
      <c r="I9" t="str">
        <f>TEXT(SalesTable5[[#This Row],[OrderDate]],"mmmm")</f>
        <v>February</v>
      </c>
      <c r="J9" t="str">
        <f>IF(SalesTable5[[#This Row],[UnitsSold]]&gt;=8,"High","Low")</f>
        <v>High</v>
      </c>
    </row>
    <row r="10" spans="1:10">
      <c r="A10">
        <v>1064</v>
      </c>
      <c r="B10" s="1">
        <v>45357</v>
      </c>
      <c r="C10" t="s">
        <v>16</v>
      </c>
      <c r="D10" t="s">
        <v>17</v>
      </c>
      <c r="E10" t="s">
        <v>15</v>
      </c>
      <c r="F10">
        <v>10</v>
      </c>
      <c r="G10" s="2">
        <v>800</v>
      </c>
      <c r="H10" s="2">
        <f>SalesTable5[[#This Row],[UnitsSold]]*SalesTable5[[#This Row],[UnitPrice]]</f>
        <v>8000</v>
      </c>
      <c r="I10" t="str">
        <f>TEXT(SalesTable5[[#This Row],[OrderDate]],"mmmm")</f>
        <v>March</v>
      </c>
      <c r="J10" t="str">
        <f>IF(SalesTable5[[#This Row],[UnitsSold]]&gt;=8,"High","Low")</f>
        <v>High</v>
      </c>
    </row>
    <row r="11" spans="1:10">
      <c r="A11">
        <v>1073</v>
      </c>
      <c r="B11" s="1">
        <v>45366</v>
      </c>
      <c r="C11" t="s">
        <v>7</v>
      </c>
      <c r="D11" t="s">
        <v>8</v>
      </c>
      <c r="E11" t="s">
        <v>15</v>
      </c>
      <c r="F11">
        <v>10</v>
      </c>
      <c r="G11" s="2">
        <v>800</v>
      </c>
      <c r="H11" s="2">
        <f>SalesTable5[[#This Row],[UnitsSold]]*SalesTable5[[#This Row],[UnitPrice]]</f>
        <v>8000</v>
      </c>
      <c r="I11" t="str">
        <f>TEXT(SalesTable5[[#This Row],[OrderDate]],"mmmm")</f>
        <v>March</v>
      </c>
      <c r="J11" t="str">
        <f>IF(SalesTable5[[#This Row],[UnitsSold]]&gt;=8,"High","Low")</f>
        <v>High</v>
      </c>
    </row>
    <row r="12" spans="1:10">
      <c r="A12">
        <v>1008</v>
      </c>
      <c r="B12" s="1">
        <v>45299</v>
      </c>
      <c r="C12" t="s">
        <v>16</v>
      </c>
      <c r="D12" t="s">
        <v>17</v>
      </c>
      <c r="E12" t="s">
        <v>15</v>
      </c>
      <c r="F12">
        <v>9</v>
      </c>
      <c r="G12" s="2">
        <v>800</v>
      </c>
      <c r="H12" s="2">
        <f>SalesTable5[[#This Row],[UnitsSold]]*SalesTable5[[#This Row],[UnitPrice]]</f>
        <v>7200</v>
      </c>
      <c r="I12" t="str">
        <f>TEXT(SalesTable5[[#This Row],[OrderDate]],"mmmm")</f>
        <v>January</v>
      </c>
      <c r="J12" t="str">
        <f>IF(SalesTable5[[#This Row],[UnitsSold]]&gt;=8,"High","Low")</f>
        <v>High</v>
      </c>
    </row>
    <row r="13" spans="1:10">
      <c r="A13">
        <v>1021</v>
      </c>
      <c r="B13" s="1">
        <v>45312</v>
      </c>
      <c r="C13" t="s">
        <v>7</v>
      </c>
      <c r="D13" t="s">
        <v>8</v>
      </c>
      <c r="E13" t="s">
        <v>9</v>
      </c>
      <c r="F13">
        <v>6</v>
      </c>
      <c r="G13" s="2">
        <v>1200</v>
      </c>
      <c r="H13" s="2">
        <f>SalesTable5[[#This Row],[UnitsSold]]*SalesTable5[[#This Row],[UnitPrice]]</f>
        <v>7200</v>
      </c>
      <c r="I13" t="str">
        <f>TEXT(SalesTable5[[#This Row],[OrderDate]],"mmmm")</f>
        <v>January</v>
      </c>
      <c r="J13" t="str">
        <f>IF(SalesTable5[[#This Row],[UnitsSold]]&gt;=8,"High","Low")</f>
        <v>Low</v>
      </c>
    </row>
    <row r="14" spans="1:10">
      <c r="A14">
        <v>1022</v>
      </c>
      <c r="B14" s="1">
        <v>45313</v>
      </c>
      <c r="C14" t="s">
        <v>10</v>
      </c>
      <c r="D14" t="s">
        <v>11</v>
      </c>
      <c r="E14" t="s">
        <v>15</v>
      </c>
      <c r="F14">
        <v>9</v>
      </c>
      <c r="G14" s="2">
        <v>800</v>
      </c>
      <c r="H14" s="2">
        <f>SalesTable5[[#This Row],[UnitsSold]]*SalesTable5[[#This Row],[UnitPrice]]</f>
        <v>7200</v>
      </c>
      <c r="I14" t="str">
        <f>TEXT(SalesTable5[[#This Row],[OrderDate]],"mmmm")</f>
        <v>January</v>
      </c>
      <c r="J14" t="str">
        <f>IF(SalesTable5[[#This Row],[UnitsSold]]&gt;=8,"High","Low")</f>
        <v>High</v>
      </c>
    </row>
    <row r="15" spans="1:10">
      <c r="A15">
        <v>1037</v>
      </c>
      <c r="B15" s="1">
        <v>45329</v>
      </c>
      <c r="C15" t="s">
        <v>7</v>
      </c>
      <c r="D15" t="s">
        <v>8</v>
      </c>
      <c r="E15" t="s">
        <v>15</v>
      </c>
      <c r="F15">
        <v>9</v>
      </c>
      <c r="G15" s="2">
        <v>800</v>
      </c>
      <c r="H15" s="2">
        <f>SalesTable5[[#This Row],[UnitsSold]]*SalesTable5[[#This Row],[UnitPrice]]</f>
        <v>7200</v>
      </c>
      <c r="I15" t="str">
        <f>TEXT(SalesTable5[[#This Row],[OrderDate]],"mmmm")</f>
        <v>February</v>
      </c>
      <c r="J15" t="str">
        <f>IF(SalesTable5[[#This Row],[UnitsSold]]&gt;=8,"High","Low")</f>
        <v>High</v>
      </c>
    </row>
    <row r="16" spans="1:10">
      <c r="A16">
        <v>1042</v>
      </c>
      <c r="B16" s="1">
        <v>45334</v>
      </c>
      <c r="C16" t="s">
        <v>10</v>
      </c>
      <c r="D16" t="s">
        <v>11</v>
      </c>
      <c r="E16" t="s">
        <v>9</v>
      </c>
      <c r="F16">
        <v>6</v>
      </c>
      <c r="G16" s="2">
        <v>1200</v>
      </c>
      <c r="H16" s="2">
        <f>SalesTable5[[#This Row],[UnitsSold]]*SalesTable5[[#This Row],[UnitPrice]]</f>
        <v>7200</v>
      </c>
      <c r="I16" t="str">
        <f>TEXT(SalesTable5[[#This Row],[OrderDate]],"mmmm")</f>
        <v>February</v>
      </c>
      <c r="J16" t="str">
        <f>IF(SalesTable5[[#This Row],[UnitsSold]]&gt;=8,"High","Low")</f>
        <v>Low</v>
      </c>
    </row>
    <row r="17" spans="1:10">
      <c r="A17">
        <v>1051</v>
      </c>
      <c r="B17" s="1">
        <v>45343</v>
      </c>
      <c r="C17" t="s">
        <v>13</v>
      </c>
      <c r="D17" t="s">
        <v>14</v>
      </c>
      <c r="E17" t="s">
        <v>9</v>
      </c>
      <c r="F17">
        <v>6</v>
      </c>
      <c r="G17" s="2">
        <v>1200</v>
      </c>
      <c r="H17" s="2">
        <f>SalesTable5[[#This Row],[UnitsSold]]*SalesTable5[[#This Row],[UnitPrice]]</f>
        <v>7200</v>
      </c>
      <c r="I17" t="str">
        <f>TEXT(SalesTable5[[#This Row],[OrderDate]],"mmmm")</f>
        <v>February</v>
      </c>
      <c r="J17" t="str">
        <f>IF(SalesTable5[[#This Row],[UnitsSold]]&gt;=8,"High","Low")</f>
        <v>Low</v>
      </c>
    </row>
    <row r="18" spans="1:10">
      <c r="A18">
        <v>1052</v>
      </c>
      <c r="B18" s="1">
        <v>45344</v>
      </c>
      <c r="C18" t="s">
        <v>16</v>
      </c>
      <c r="D18" t="s">
        <v>17</v>
      </c>
      <c r="E18" t="s">
        <v>15</v>
      </c>
      <c r="F18">
        <v>9</v>
      </c>
      <c r="G18" s="2">
        <v>800</v>
      </c>
      <c r="H18" s="2">
        <f>SalesTable5[[#This Row],[UnitsSold]]*SalesTable5[[#This Row],[UnitPrice]]</f>
        <v>7200</v>
      </c>
      <c r="I18" t="str">
        <f>TEXT(SalesTable5[[#This Row],[OrderDate]],"mmmm")</f>
        <v>February</v>
      </c>
      <c r="J18" t="str">
        <f>IF(SalesTable5[[#This Row],[UnitsSold]]&gt;=8,"High","Low")</f>
        <v>High</v>
      </c>
    </row>
    <row r="19" spans="1:10">
      <c r="A19">
        <v>1066</v>
      </c>
      <c r="B19" s="1">
        <v>45359</v>
      </c>
      <c r="C19" t="s">
        <v>10</v>
      </c>
      <c r="D19" t="s">
        <v>11</v>
      </c>
      <c r="E19" t="s">
        <v>9</v>
      </c>
      <c r="F19">
        <v>6</v>
      </c>
      <c r="G19" s="2">
        <v>1200</v>
      </c>
      <c r="H19" s="2">
        <f>SalesTable5[[#This Row],[UnitsSold]]*SalesTable5[[#This Row],[UnitPrice]]</f>
        <v>7200</v>
      </c>
      <c r="I19" t="str">
        <f>TEXT(SalesTable5[[#This Row],[OrderDate]],"mmmm")</f>
        <v>March</v>
      </c>
      <c r="J19" t="str">
        <f>IF(SalesTable5[[#This Row],[UnitsSold]]&gt;=8,"High","Low")</f>
        <v>Low</v>
      </c>
    </row>
    <row r="20" spans="1:10">
      <c r="A20">
        <v>1067</v>
      </c>
      <c r="B20" s="1">
        <v>45360</v>
      </c>
      <c r="C20" t="s">
        <v>13</v>
      </c>
      <c r="D20" t="s">
        <v>14</v>
      </c>
      <c r="E20" t="s">
        <v>15</v>
      </c>
      <c r="F20">
        <v>9</v>
      </c>
      <c r="G20" s="2">
        <v>800</v>
      </c>
      <c r="H20" s="2">
        <f>SalesTable5[[#This Row],[UnitsSold]]*SalesTable5[[#This Row],[UnitPrice]]</f>
        <v>7200</v>
      </c>
      <c r="I20" t="str">
        <f>TEXT(SalesTable5[[#This Row],[OrderDate]],"mmmm")</f>
        <v>March</v>
      </c>
      <c r="J20" t="str">
        <f>IF(SalesTable5[[#This Row],[UnitsSold]]&gt;=8,"High","Low")</f>
        <v>High</v>
      </c>
    </row>
    <row r="21" spans="1:10">
      <c r="A21">
        <v>1078</v>
      </c>
      <c r="B21" s="1">
        <v>45371</v>
      </c>
      <c r="C21" t="s">
        <v>10</v>
      </c>
      <c r="D21" t="s">
        <v>11</v>
      </c>
      <c r="E21" t="s">
        <v>9</v>
      </c>
      <c r="F21">
        <v>6</v>
      </c>
      <c r="G21" s="2">
        <v>1200</v>
      </c>
      <c r="H21" s="2">
        <f>SalesTable5[[#This Row],[UnitsSold]]*SalesTable5[[#This Row],[UnitPrice]]</f>
        <v>7200</v>
      </c>
      <c r="I21" t="str">
        <f>TEXT(SalesTable5[[#This Row],[OrderDate]],"mmmm")</f>
        <v>March</v>
      </c>
      <c r="J21" t="str">
        <f>IF(SalesTable5[[#This Row],[UnitsSold]]&gt;=8,"High","Low")</f>
        <v>Low</v>
      </c>
    </row>
    <row r="22" spans="1:10">
      <c r="A22">
        <v>1079</v>
      </c>
      <c r="B22" s="1">
        <v>45372</v>
      </c>
      <c r="C22" t="s">
        <v>13</v>
      </c>
      <c r="D22" t="s">
        <v>14</v>
      </c>
      <c r="E22" t="s">
        <v>15</v>
      </c>
      <c r="F22">
        <v>9</v>
      </c>
      <c r="G22" s="2">
        <v>800</v>
      </c>
      <c r="H22" s="2">
        <f>SalesTable5[[#This Row],[UnitsSold]]*SalesTable5[[#This Row],[UnitPrice]]</f>
        <v>7200</v>
      </c>
      <c r="I22" t="str">
        <f>TEXT(SalesTable5[[#This Row],[OrderDate]],"mmmm")</f>
        <v>March</v>
      </c>
      <c r="J22" t="str">
        <f>IF(SalesTable5[[#This Row],[UnitsSold]]&gt;=8,"High","Low")</f>
        <v>High</v>
      </c>
    </row>
    <row r="23" spans="1:10">
      <c r="A23">
        <v>1015</v>
      </c>
      <c r="B23" s="1">
        <v>45306</v>
      </c>
      <c r="C23" t="s">
        <v>13</v>
      </c>
      <c r="D23" t="s">
        <v>14</v>
      </c>
      <c r="E23" t="s">
        <v>15</v>
      </c>
      <c r="F23">
        <v>8</v>
      </c>
      <c r="G23" s="2">
        <v>800</v>
      </c>
      <c r="H23" s="2">
        <f>SalesTable5[[#This Row],[UnitsSold]]*SalesTable5[[#This Row],[UnitPrice]]</f>
        <v>6400</v>
      </c>
      <c r="I23" t="str">
        <f>TEXT(SalesTable5[[#This Row],[OrderDate]],"mmmm")</f>
        <v>January</v>
      </c>
      <c r="J23" t="str">
        <f>IF(SalesTable5[[#This Row],[UnitsSold]]&gt;=8,"High","Low")</f>
        <v>High</v>
      </c>
    </row>
    <row r="24" spans="1:10">
      <c r="A24">
        <v>1034</v>
      </c>
      <c r="B24" s="1">
        <v>45326</v>
      </c>
      <c r="C24" t="s">
        <v>10</v>
      </c>
      <c r="D24" t="s">
        <v>11</v>
      </c>
      <c r="E24" t="s">
        <v>15</v>
      </c>
      <c r="F24">
        <v>8</v>
      </c>
      <c r="G24" s="2">
        <v>800</v>
      </c>
      <c r="H24" s="2">
        <f>SalesTable5[[#This Row],[UnitsSold]]*SalesTable5[[#This Row],[UnitPrice]]</f>
        <v>6400</v>
      </c>
      <c r="I24" t="str">
        <f>TEXT(SalesTable5[[#This Row],[OrderDate]],"mmmm")</f>
        <v>February</v>
      </c>
      <c r="J24" t="str">
        <f>IF(SalesTable5[[#This Row],[UnitsSold]]&gt;=8,"High","Low")</f>
        <v>High</v>
      </c>
    </row>
    <row r="25" spans="1:10">
      <c r="A25">
        <v>1049</v>
      </c>
      <c r="B25" s="1">
        <v>45341</v>
      </c>
      <c r="C25" t="s">
        <v>7</v>
      </c>
      <c r="D25" t="s">
        <v>8</v>
      </c>
      <c r="E25" t="s">
        <v>15</v>
      </c>
      <c r="F25">
        <v>8</v>
      </c>
      <c r="G25" s="2">
        <v>800</v>
      </c>
      <c r="H25" s="2">
        <f>SalesTable5[[#This Row],[UnitsSold]]*SalesTable5[[#This Row],[UnitPrice]]</f>
        <v>6400</v>
      </c>
      <c r="I25" t="str">
        <f>TEXT(SalesTable5[[#This Row],[OrderDate]],"mmmm")</f>
        <v>February</v>
      </c>
      <c r="J25" t="str">
        <f>IF(SalesTable5[[#This Row],[UnitsSold]]&gt;=8,"High","Low")</f>
        <v>High</v>
      </c>
    </row>
    <row r="26" spans="1:10">
      <c r="A26">
        <v>1070</v>
      </c>
      <c r="B26" s="1">
        <v>45363</v>
      </c>
      <c r="C26" t="s">
        <v>10</v>
      </c>
      <c r="D26" t="s">
        <v>11</v>
      </c>
      <c r="E26" t="s">
        <v>15</v>
      </c>
      <c r="F26">
        <v>8</v>
      </c>
      <c r="G26" s="2">
        <v>800</v>
      </c>
      <c r="H26" s="2">
        <f>SalesTable5[[#This Row],[UnitsSold]]*SalesTable5[[#This Row],[UnitPrice]]</f>
        <v>6400</v>
      </c>
      <c r="I26" t="str">
        <f>TEXT(SalesTable5[[#This Row],[OrderDate]],"mmmm")</f>
        <v>March</v>
      </c>
      <c r="J26" t="str">
        <f>IF(SalesTable5[[#This Row],[UnitsSold]]&gt;=8,"High","Low")</f>
        <v>High</v>
      </c>
    </row>
    <row r="27" spans="1:10">
      <c r="A27">
        <v>1001</v>
      </c>
      <c r="B27" s="1">
        <v>45292</v>
      </c>
      <c r="C27" t="s">
        <v>7</v>
      </c>
      <c r="D27" t="s">
        <v>8</v>
      </c>
      <c r="E27" t="s">
        <v>9</v>
      </c>
      <c r="F27">
        <v>5</v>
      </c>
      <c r="G27" s="2">
        <v>1200</v>
      </c>
      <c r="H27" s="2">
        <f>SalesTable5[[#This Row],[UnitsSold]]*SalesTable5[[#This Row],[UnitPrice]]</f>
        <v>6000</v>
      </c>
      <c r="I27" t="str">
        <f>TEXT(SalesTable5[[#This Row],[OrderDate]],"mmmm")</f>
        <v>January</v>
      </c>
      <c r="J27" t="str">
        <f>IF(SalesTable5[[#This Row],[UnitsSold]]&gt;=8,"High","Low")</f>
        <v>Low</v>
      </c>
    </row>
    <row r="28" spans="1:10">
      <c r="A28">
        <v>1016</v>
      </c>
      <c r="B28" s="1">
        <v>45307</v>
      </c>
      <c r="C28" t="s">
        <v>16</v>
      </c>
      <c r="D28" t="s">
        <v>17</v>
      </c>
      <c r="E28" t="s">
        <v>9</v>
      </c>
      <c r="F28">
        <v>5</v>
      </c>
      <c r="G28" s="2">
        <v>1200</v>
      </c>
      <c r="H28" s="2">
        <f>SalesTable5[[#This Row],[UnitsSold]]*SalesTable5[[#This Row],[UnitPrice]]</f>
        <v>6000</v>
      </c>
      <c r="I28" t="str">
        <f>TEXT(SalesTable5[[#This Row],[OrderDate]],"mmmm")</f>
        <v>January</v>
      </c>
      <c r="J28" t="str">
        <f>IF(SalesTable5[[#This Row],[UnitsSold]]&gt;=8,"High","Low")</f>
        <v>Low</v>
      </c>
    </row>
    <row r="29" spans="1:10">
      <c r="A29">
        <v>1030</v>
      </c>
      <c r="B29" s="1">
        <v>45321</v>
      </c>
      <c r="C29" t="s">
        <v>10</v>
      </c>
      <c r="D29" t="s">
        <v>11</v>
      </c>
      <c r="E29" t="s">
        <v>9</v>
      </c>
      <c r="F29">
        <v>5</v>
      </c>
      <c r="G29" s="2">
        <v>1200</v>
      </c>
      <c r="H29" s="2">
        <f>SalesTable5[[#This Row],[UnitsSold]]*SalesTable5[[#This Row],[UnitPrice]]</f>
        <v>6000</v>
      </c>
      <c r="I29" t="str">
        <f>TEXT(SalesTable5[[#This Row],[OrderDate]],"mmmm")</f>
        <v>January</v>
      </c>
      <c r="J29" t="str">
        <f>IF(SalesTable5[[#This Row],[UnitsSold]]&gt;=8,"High","Low")</f>
        <v>Low</v>
      </c>
    </row>
    <row r="30" spans="1:10">
      <c r="A30">
        <v>1039</v>
      </c>
      <c r="B30" s="1">
        <v>45331</v>
      </c>
      <c r="C30" t="s">
        <v>13</v>
      </c>
      <c r="D30" t="s">
        <v>14</v>
      </c>
      <c r="E30" t="s">
        <v>9</v>
      </c>
      <c r="F30">
        <v>5</v>
      </c>
      <c r="G30" s="2">
        <v>1200</v>
      </c>
      <c r="H30" s="2">
        <f>SalesTable5[[#This Row],[UnitsSold]]*SalesTable5[[#This Row],[UnitPrice]]</f>
        <v>6000</v>
      </c>
      <c r="I30" t="str">
        <f>TEXT(SalesTable5[[#This Row],[OrderDate]],"mmmm")</f>
        <v>February</v>
      </c>
      <c r="J30" t="str">
        <f>IF(SalesTable5[[#This Row],[UnitsSold]]&gt;=8,"High","Low")</f>
        <v>Low</v>
      </c>
    </row>
    <row r="31" spans="1:10">
      <c r="A31">
        <v>1054</v>
      </c>
      <c r="B31" s="1">
        <v>45346</v>
      </c>
      <c r="C31" t="s">
        <v>10</v>
      </c>
      <c r="D31" t="s">
        <v>11</v>
      </c>
      <c r="E31" t="s">
        <v>9</v>
      </c>
      <c r="F31">
        <v>5</v>
      </c>
      <c r="G31" s="2">
        <v>1200</v>
      </c>
      <c r="H31" s="2">
        <f>SalesTable5[[#This Row],[UnitsSold]]*SalesTable5[[#This Row],[UnitPrice]]</f>
        <v>6000</v>
      </c>
      <c r="I31" t="str">
        <f>TEXT(SalesTable5[[#This Row],[OrderDate]],"mmmm")</f>
        <v>February</v>
      </c>
      <c r="J31" t="str">
        <f>IF(SalesTable5[[#This Row],[UnitsSold]]&gt;=8,"High","Low")</f>
        <v>Low</v>
      </c>
    </row>
    <row r="32" spans="1:10">
      <c r="A32">
        <v>1060</v>
      </c>
      <c r="B32" s="1">
        <v>45353</v>
      </c>
      <c r="C32" t="s">
        <v>16</v>
      </c>
      <c r="D32" t="s">
        <v>17</v>
      </c>
      <c r="E32" t="s">
        <v>9</v>
      </c>
      <c r="F32">
        <v>5</v>
      </c>
      <c r="G32" s="2">
        <v>1200</v>
      </c>
      <c r="H32" s="2">
        <f>SalesTable5[[#This Row],[UnitsSold]]*SalesTable5[[#This Row],[UnitPrice]]</f>
        <v>6000</v>
      </c>
      <c r="I32" t="str">
        <f>TEXT(SalesTable5[[#This Row],[OrderDate]],"mmmm")</f>
        <v>March</v>
      </c>
      <c r="J32" t="str">
        <f>IF(SalesTable5[[#This Row],[UnitsSold]]&gt;=8,"High","Low")</f>
        <v>Low</v>
      </c>
    </row>
    <row r="33" spans="1:10">
      <c r="A33">
        <v>1075</v>
      </c>
      <c r="B33" s="1">
        <v>45368</v>
      </c>
      <c r="C33" t="s">
        <v>13</v>
      </c>
      <c r="D33" t="s">
        <v>14</v>
      </c>
      <c r="E33" t="s">
        <v>9</v>
      </c>
      <c r="F33">
        <v>5</v>
      </c>
      <c r="G33" s="2">
        <v>1200</v>
      </c>
      <c r="H33" s="2">
        <f>SalesTable5[[#This Row],[UnitsSold]]*SalesTable5[[#This Row],[UnitPrice]]</f>
        <v>6000</v>
      </c>
      <c r="I33" t="str">
        <f>TEXT(SalesTable5[[#This Row],[OrderDate]],"mmmm")</f>
        <v>March</v>
      </c>
      <c r="J33" t="str">
        <f>IF(SalesTable5[[#This Row],[UnitsSold]]&gt;=8,"High","Low")</f>
        <v>Low</v>
      </c>
    </row>
    <row r="34" spans="1:10">
      <c r="A34">
        <v>1017</v>
      </c>
      <c r="B34" s="1">
        <v>45308</v>
      </c>
      <c r="C34" t="s">
        <v>7</v>
      </c>
      <c r="D34" t="s">
        <v>8</v>
      </c>
      <c r="E34" t="s">
        <v>15</v>
      </c>
      <c r="F34">
        <v>7</v>
      </c>
      <c r="G34" s="2">
        <v>800</v>
      </c>
      <c r="H34" s="2">
        <f>SalesTable5[[#This Row],[UnitsSold]]*SalesTable5[[#This Row],[UnitPrice]]</f>
        <v>5600</v>
      </c>
      <c r="I34" t="str">
        <f>TEXT(SalesTable5[[#This Row],[OrderDate]],"mmmm")</f>
        <v>January</v>
      </c>
      <c r="J34" t="str">
        <f>IF(SalesTable5[[#This Row],[UnitsSold]]&gt;=8,"High","Low")</f>
        <v>Low</v>
      </c>
    </row>
    <row r="35" spans="1:10">
      <c r="A35">
        <v>1043</v>
      </c>
      <c r="B35" s="1">
        <v>45335</v>
      </c>
      <c r="C35" t="s">
        <v>13</v>
      </c>
      <c r="D35" t="s">
        <v>14</v>
      </c>
      <c r="E35" t="s">
        <v>15</v>
      </c>
      <c r="F35">
        <v>7</v>
      </c>
      <c r="G35" s="2">
        <v>800</v>
      </c>
      <c r="H35" s="2">
        <f>SalesTable5[[#This Row],[UnitsSold]]*SalesTable5[[#This Row],[UnitPrice]]</f>
        <v>5600</v>
      </c>
      <c r="I35" t="str">
        <f>TEXT(SalesTable5[[#This Row],[OrderDate]],"mmmm")</f>
        <v>February</v>
      </c>
      <c r="J35" t="str">
        <f>IF(SalesTable5[[#This Row],[UnitsSold]]&gt;=8,"High","Low")</f>
        <v>Low</v>
      </c>
    </row>
    <row r="36" spans="1:10">
      <c r="A36">
        <v>1055</v>
      </c>
      <c r="B36" s="1">
        <v>45347</v>
      </c>
      <c r="C36" t="s">
        <v>13</v>
      </c>
      <c r="D36" t="s">
        <v>14</v>
      </c>
      <c r="E36" t="s">
        <v>15</v>
      </c>
      <c r="F36">
        <v>7</v>
      </c>
      <c r="G36" s="2">
        <v>800</v>
      </c>
      <c r="H36" s="2">
        <f>SalesTable5[[#This Row],[UnitsSold]]*SalesTable5[[#This Row],[UnitPrice]]</f>
        <v>5600</v>
      </c>
      <c r="I36" t="str">
        <f>TEXT(SalesTable5[[#This Row],[OrderDate]],"mmmm")</f>
        <v>February</v>
      </c>
      <c r="J36" t="str">
        <f>IF(SalesTable5[[#This Row],[UnitsSold]]&gt;=8,"High","Low")</f>
        <v>Low</v>
      </c>
    </row>
    <row r="37" spans="1:10">
      <c r="A37">
        <v>1076</v>
      </c>
      <c r="B37" s="1">
        <v>45369</v>
      </c>
      <c r="C37" t="s">
        <v>16</v>
      </c>
      <c r="D37" t="s">
        <v>17</v>
      </c>
      <c r="E37" t="s">
        <v>15</v>
      </c>
      <c r="F37">
        <v>7</v>
      </c>
      <c r="G37" s="2">
        <v>800</v>
      </c>
      <c r="H37" s="2">
        <f>SalesTable5[[#This Row],[UnitsSold]]*SalesTable5[[#This Row],[UnitPrice]]</f>
        <v>5600</v>
      </c>
      <c r="I37" t="str">
        <f>TEXT(SalesTable5[[#This Row],[OrderDate]],"mmmm")</f>
        <v>March</v>
      </c>
      <c r="J37" t="str">
        <f>IF(SalesTable5[[#This Row],[UnitsSold]]&gt;=8,"High","Low")</f>
        <v>Low</v>
      </c>
    </row>
    <row r="38" spans="1:10">
      <c r="A38">
        <v>1005</v>
      </c>
      <c r="B38" s="1">
        <v>45296</v>
      </c>
      <c r="C38" t="s">
        <v>7</v>
      </c>
      <c r="D38" t="s">
        <v>8</v>
      </c>
      <c r="E38" t="s">
        <v>15</v>
      </c>
      <c r="F38">
        <v>6</v>
      </c>
      <c r="G38" s="2">
        <v>800</v>
      </c>
      <c r="H38" s="2">
        <f>SalesTable5[[#This Row],[UnitsSold]]*SalesTable5[[#This Row],[UnitPrice]]</f>
        <v>4800</v>
      </c>
      <c r="I38" t="str">
        <f>TEXT(SalesTable5[[#This Row],[OrderDate]],"mmmm")</f>
        <v>January</v>
      </c>
      <c r="J38" t="str">
        <f>IF(SalesTable5[[#This Row],[UnitsSold]]&gt;=8,"High","Low")</f>
        <v>Low</v>
      </c>
    </row>
    <row r="39" spans="1:10">
      <c r="A39">
        <v>1006</v>
      </c>
      <c r="B39" s="1">
        <v>45297</v>
      </c>
      <c r="C39" t="s">
        <v>10</v>
      </c>
      <c r="D39" t="s">
        <v>11</v>
      </c>
      <c r="E39" t="s">
        <v>9</v>
      </c>
      <c r="F39">
        <v>4</v>
      </c>
      <c r="G39" s="2">
        <v>1200</v>
      </c>
      <c r="H39" s="2">
        <f>SalesTable5[[#This Row],[UnitsSold]]*SalesTable5[[#This Row],[UnitPrice]]</f>
        <v>4800</v>
      </c>
      <c r="I39" t="str">
        <f>TEXT(SalesTable5[[#This Row],[OrderDate]],"mmmm")</f>
        <v>January</v>
      </c>
      <c r="J39" t="str">
        <f>IF(SalesTable5[[#This Row],[UnitsSold]]&gt;=8,"High","Low")</f>
        <v>Low</v>
      </c>
    </row>
    <row r="40" spans="1:10">
      <c r="A40">
        <v>1013</v>
      </c>
      <c r="B40" s="1">
        <v>45304</v>
      </c>
      <c r="C40" t="s">
        <v>7</v>
      </c>
      <c r="D40" t="s">
        <v>8</v>
      </c>
      <c r="E40" t="s">
        <v>9</v>
      </c>
      <c r="F40">
        <v>4</v>
      </c>
      <c r="G40" s="2">
        <v>1200</v>
      </c>
      <c r="H40" s="2">
        <f>SalesTable5[[#This Row],[UnitsSold]]*SalesTable5[[#This Row],[UnitPrice]]</f>
        <v>4800</v>
      </c>
      <c r="I40" t="str">
        <f>TEXT(SalesTable5[[#This Row],[OrderDate]],"mmmm")</f>
        <v>January</v>
      </c>
      <c r="J40" t="str">
        <f>IF(SalesTable5[[#This Row],[UnitsSold]]&gt;=8,"High","Low")</f>
        <v>Low</v>
      </c>
    </row>
    <row r="41" spans="1:10">
      <c r="A41">
        <v>1023</v>
      </c>
      <c r="B41" s="1">
        <v>45314</v>
      </c>
      <c r="C41" t="s">
        <v>13</v>
      </c>
      <c r="D41" t="s">
        <v>14</v>
      </c>
      <c r="E41" t="s">
        <v>9</v>
      </c>
      <c r="F41">
        <v>4</v>
      </c>
      <c r="G41" s="2">
        <v>1200</v>
      </c>
      <c r="H41" s="2">
        <f>SalesTable5[[#This Row],[UnitsSold]]*SalesTable5[[#This Row],[UnitPrice]]</f>
        <v>4800</v>
      </c>
      <c r="I41" t="str">
        <f>TEXT(SalesTable5[[#This Row],[OrderDate]],"mmmm")</f>
        <v>January</v>
      </c>
      <c r="J41" t="str">
        <f>IF(SalesTable5[[#This Row],[UnitsSold]]&gt;=8,"High","Low")</f>
        <v>Low</v>
      </c>
    </row>
    <row r="42" spans="1:10">
      <c r="A42">
        <v>1031</v>
      </c>
      <c r="B42" s="1">
        <v>45323</v>
      </c>
      <c r="C42" t="s">
        <v>13</v>
      </c>
      <c r="D42" t="s">
        <v>14</v>
      </c>
      <c r="E42" t="s">
        <v>15</v>
      </c>
      <c r="F42">
        <v>6</v>
      </c>
      <c r="G42" s="2">
        <v>800</v>
      </c>
      <c r="H42" s="2">
        <f>SalesTable5[[#This Row],[UnitsSold]]*SalesTable5[[#This Row],[UnitPrice]]</f>
        <v>4800</v>
      </c>
      <c r="I42" t="str">
        <f>TEXT(SalesTable5[[#This Row],[OrderDate]],"mmmm")</f>
        <v>February</v>
      </c>
      <c r="J42" t="str">
        <f>IF(SalesTable5[[#This Row],[UnitsSold]]&gt;=8,"High","Low")</f>
        <v>Low</v>
      </c>
    </row>
    <row r="43" spans="1:10">
      <c r="A43">
        <v>1036</v>
      </c>
      <c r="B43" s="1">
        <v>45328</v>
      </c>
      <c r="C43" t="s">
        <v>16</v>
      </c>
      <c r="D43" t="s">
        <v>17</v>
      </c>
      <c r="E43" t="s">
        <v>9</v>
      </c>
      <c r="F43">
        <v>4</v>
      </c>
      <c r="G43" s="2">
        <v>1200</v>
      </c>
      <c r="H43" s="2">
        <f>SalesTable5[[#This Row],[UnitsSold]]*SalesTable5[[#This Row],[UnitPrice]]</f>
        <v>4800</v>
      </c>
      <c r="I43" t="str">
        <f>TEXT(SalesTable5[[#This Row],[OrderDate]],"mmmm")</f>
        <v>February</v>
      </c>
      <c r="J43" t="str">
        <f>IF(SalesTable5[[#This Row],[UnitsSold]]&gt;=8,"High","Low")</f>
        <v>Low</v>
      </c>
    </row>
    <row r="44" spans="1:10">
      <c r="A44">
        <v>1045</v>
      </c>
      <c r="B44" s="1">
        <v>45337</v>
      </c>
      <c r="C44" t="s">
        <v>7</v>
      </c>
      <c r="D44" t="s">
        <v>8</v>
      </c>
      <c r="E44" t="s">
        <v>9</v>
      </c>
      <c r="F44">
        <v>4</v>
      </c>
      <c r="G44" s="2">
        <v>1200</v>
      </c>
      <c r="H44" s="2">
        <f>SalesTable5[[#This Row],[UnitsSold]]*SalesTable5[[#This Row],[UnitPrice]]</f>
        <v>4800</v>
      </c>
      <c r="I44" t="str">
        <f>TEXT(SalesTable5[[#This Row],[OrderDate]],"mmmm")</f>
        <v>February</v>
      </c>
      <c r="J44" t="str">
        <f>IF(SalesTable5[[#This Row],[UnitsSold]]&gt;=8,"High","Low")</f>
        <v>Low</v>
      </c>
    </row>
    <row r="45" spans="1:10">
      <c r="A45">
        <v>1057</v>
      </c>
      <c r="B45" s="1">
        <v>45349</v>
      </c>
      <c r="C45" t="s">
        <v>7</v>
      </c>
      <c r="D45" t="s">
        <v>8</v>
      </c>
      <c r="E45" t="s">
        <v>9</v>
      </c>
      <c r="F45">
        <v>4</v>
      </c>
      <c r="G45" s="2">
        <v>1200</v>
      </c>
      <c r="H45" s="2">
        <f>SalesTable5[[#This Row],[UnitsSold]]*SalesTable5[[#This Row],[UnitPrice]]</f>
        <v>4800</v>
      </c>
      <c r="I45" t="str">
        <f>TEXT(SalesTable5[[#This Row],[OrderDate]],"mmmm")</f>
        <v>February</v>
      </c>
      <c r="J45" t="str">
        <f>IF(SalesTable5[[#This Row],[UnitsSold]]&gt;=8,"High","Low")</f>
        <v>Low</v>
      </c>
    </row>
    <row r="46" spans="1:10">
      <c r="A46">
        <v>1061</v>
      </c>
      <c r="B46" s="1">
        <v>45354</v>
      </c>
      <c r="C46" t="s">
        <v>7</v>
      </c>
      <c r="D46" t="s">
        <v>8</v>
      </c>
      <c r="E46" t="s">
        <v>15</v>
      </c>
      <c r="F46">
        <v>6</v>
      </c>
      <c r="G46" s="2">
        <v>800</v>
      </c>
      <c r="H46" s="2">
        <f>SalesTable5[[#This Row],[UnitsSold]]*SalesTable5[[#This Row],[UnitPrice]]</f>
        <v>4800</v>
      </c>
      <c r="I46" t="str">
        <f>TEXT(SalesTable5[[#This Row],[OrderDate]],"mmmm")</f>
        <v>March</v>
      </c>
      <c r="J46" t="str">
        <f>IF(SalesTable5[[#This Row],[UnitsSold]]&gt;=8,"High","Low")</f>
        <v>Low</v>
      </c>
    </row>
    <row r="47" spans="1:10">
      <c r="A47">
        <v>1072</v>
      </c>
      <c r="B47" s="1">
        <v>45365</v>
      </c>
      <c r="C47" t="s">
        <v>16</v>
      </c>
      <c r="D47" t="s">
        <v>17</v>
      </c>
      <c r="E47" t="s">
        <v>9</v>
      </c>
      <c r="F47">
        <v>4</v>
      </c>
      <c r="G47" s="2">
        <v>1200</v>
      </c>
      <c r="H47" s="2">
        <f>SalesTable5[[#This Row],[UnitsSold]]*SalesTable5[[#This Row],[UnitPrice]]</f>
        <v>4800</v>
      </c>
      <c r="I47" t="str">
        <f>TEXT(SalesTable5[[#This Row],[OrderDate]],"mmmm")</f>
        <v>March</v>
      </c>
      <c r="J47" t="str">
        <f>IF(SalesTable5[[#This Row],[UnitsSold]]&gt;=8,"High","Low")</f>
        <v>Low</v>
      </c>
    </row>
    <row r="48" spans="1:10">
      <c r="A48">
        <v>1032</v>
      </c>
      <c r="B48" s="1">
        <v>45324</v>
      </c>
      <c r="C48" t="s">
        <v>16</v>
      </c>
      <c r="D48" t="s">
        <v>17</v>
      </c>
      <c r="E48" t="s">
        <v>12</v>
      </c>
      <c r="F48">
        <v>10</v>
      </c>
      <c r="G48" s="2">
        <v>450</v>
      </c>
      <c r="H48" s="2">
        <f>SalesTable5[[#This Row],[UnitsSold]]*SalesTable5[[#This Row],[UnitPrice]]</f>
        <v>4500</v>
      </c>
      <c r="I48" t="str">
        <f>TEXT(SalesTable5[[#This Row],[OrderDate]],"mmmm")</f>
        <v>February</v>
      </c>
      <c r="J48" t="str">
        <f>IF(SalesTable5[[#This Row],[UnitsSold]]&gt;=8,"High","Low")</f>
        <v>High</v>
      </c>
    </row>
    <row r="49" spans="1:10">
      <c r="A49">
        <v>1053</v>
      </c>
      <c r="B49" s="1">
        <v>45345</v>
      </c>
      <c r="C49" t="s">
        <v>7</v>
      </c>
      <c r="D49" t="s">
        <v>8</v>
      </c>
      <c r="E49" t="s">
        <v>12</v>
      </c>
      <c r="F49">
        <v>10</v>
      </c>
      <c r="G49" s="2">
        <v>450</v>
      </c>
      <c r="H49" s="2">
        <f>SalesTable5[[#This Row],[UnitsSold]]*SalesTable5[[#This Row],[UnitPrice]]</f>
        <v>4500</v>
      </c>
      <c r="I49" t="str">
        <f>TEXT(SalesTable5[[#This Row],[OrderDate]],"mmmm")</f>
        <v>February</v>
      </c>
      <c r="J49" t="str">
        <f>IF(SalesTable5[[#This Row],[UnitsSold]]&gt;=8,"High","Low")</f>
        <v>High</v>
      </c>
    </row>
    <row r="50" spans="1:10">
      <c r="A50">
        <v>1014</v>
      </c>
      <c r="B50" s="1">
        <v>45305</v>
      </c>
      <c r="C50" t="s">
        <v>10</v>
      </c>
      <c r="D50" t="s">
        <v>11</v>
      </c>
      <c r="E50" t="s">
        <v>12</v>
      </c>
      <c r="F50">
        <v>9</v>
      </c>
      <c r="G50" s="2">
        <v>450</v>
      </c>
      <c r="H50" s="2">
        <f>SalesTable5[[#This Row],[UnitsSold]]*SalesTable5[[#This Row],[UnitPrice]]</f>
        <v>4050</v>
      </c>
      <c r="I50" t="str">
        <f>TEXT(SalesTable5[[#This Row],[OrderDate]],"mmmm")</f>
        <v>January</v>
      </c>
      <c r="J50" t="str">
        <f>IF(SalesTable5[[#This Row],[UnitsSold]]&gt;=8,"High","Low")</f>
        <v>High</v>
      </c>
    </row>
    <row r="51" spans="1:10">
      <c r="A51">
        <v>1029</v>
      </c>
      <c r="B51" s="1">
        <v>45320</v>
      </c>
      <c r="C51" t="s">
        <v>7</v>
      </c>
      <c r="D51" t="s">
        <v>8</v>
      </c>
      <c r="E51" t="s">
        <v>12</v>
      </c>
      <c r="F51">
        <v>9</v>
      </c>
      <c r="G51" s="2">
        <v>450</v>
      </c>
      <c r="H51" s="2">
        <f>SalesTable5[[#This Row],[UnitsSold]]*SalesTable5[[#This Row],[UnitPrice]]</f>
        <v>4050</v>
      </c>
      <c r="I51" t="str">
        <f>TEXT(SalesTable5[[#This Row],[OrderDate]],"mmmm")</f>
        <v>January</v>
      </c>
      <c r="J51" t="str">
        <f>IF(SalesTable5[[#This Row],[UnitsSold]]&gt;=8,"High","Low")</f>
        <v>High</v>
      </c>
    </row>
    <row r="52" spans="1:10">
      <c r="A52">
        <v>1044</v>
      </c>
      <c r="B52" s="1">
        <v>45336</v>
      </c>
      <c r="C52" t="s">
        <v>16</v>
      </c>
      <c r="D52" t="s">
        <v>17</v>
      </c>
      <c r="E52" t="s">
        <v>12</v>
      </c>
      <c r="F52">
        <v>9</v>
      </c>
      <c r="G52" s="2">
        <v>450</v>
      </c>
      <c r="H52" s="2">
        <f>SalesTable5[[#This Row],[UnitsSold]]*SalesTable5[[#This Row],[UnitPrice]]</f>
        <v>4050</v>
      </c>
      <c r="I52" t="str">
        <f>TEXT(SalesTable5[[#This Row],[OrderDate]],"mmmm")</f>
        <v>February</v>
      </c>
      <c r="J52" t="str">
        <f>IF(SalesTable5[[#This Row],[UnitsSold]]&gt;=8,"High","Low")</f>
        <v>High</v>
      </c>
    </row>
    <row r="53" spans="1:10">
      <c r="A53">
        <v>1059</v>
      </c>
      <c r="B53" s="1">
        <v>45352</v>
      </c>
      <c r="C53" t="s">
        <v>13</v>
      </c>
      <c r="D53" t="s">
        <v>14</v>
      </c>
      <c r="E53" t="s">
        <v>12</v>
      </c>
      <c r="F53">
        <v>9</v>
      </c>
      <c r="G53" s="2">
        <v>450</v>
      </c>
      <c r="H53" s="2">
        <f>SalesTable5[[#This Row],[UnitsSold]]*SalesTable5[[#This Row],[UnitPrice]]</f>
        <v>4050</v>
      </c>
      <c r="I53" t="str">
        <f>TEXT(SalesTable5[[#This Row],[OrderDate]],"mmmm")</f>
        <v>March</v>
      </c>
      <c r="J53" t="str">
        <f>IF(SalesTable5[[#This Row],[UnitsSold]]&gt;=8,"High","Low")</f>
        <v>High</v>
      </c>
    </row>
    <row r="54" spans="1:10">
      <c r="A54">
        <v>1074</v>
      </c>
      <c r="B54" s="1">
        <v>45367</v>
      </c>
      <c r="C54" t="s">
        <v>10</v>
      </c>
      <c r="D54" t="s">
        <v>11</v>
      </c>
      <c r="E54" t="s">
        <v>12</v>
      </c>
      <c r="F54">
        <v>9</v>
      </c>
      <c r="G54" s="2">
        <v>450</v>
      </c>
      <c r="H54" s="2">
        <f>SalesTable5[[#This Row],[UnitsSold]]*SalesTable5[[#This Row],[UnitPrice]]</f>
        <v>4050</v>
      </c>
      <c r="I54" t="str">
        <f>TEXT(SalesTable5[[#This Row],[OrderDate]],"mmmm")</f>
        <v>March</v>
      </c>
      <c r="J54" t="str">
        <f>IF(SalesTable5[[#This Row],[UnitsSold]]&gt;=8,"High","Low")</f>
        <v>High</v>
      </c>
    </row>
    <row r="55" spans="1:10">
      <c r="A55">
        <v>1025</v>
      </c>
      <c r="B55" s="1">
        <v>45316</v>
      </c>
      <c r="C55" t="s">
        <v>7</v>
      </c>
      <c r="D55" t="s">
        <v>8</v>
      </c>
      <c r="E55" t="s">
        <v>15</v>
      </c>
      <c r="F55">
        <v>5</v>
      </c>
      <c r="G55" s="2">
        <v>800</v>
      </c>
      <c r="H55" s="2">
        <f>SalesTable5[[#This Row],[UnitsSold]]*SalesTable5[[#This Row],[UnitPrice]]</f>
        <v>4000</v>
      </c>
      <c r="I55" t="str">
        <f>TEXT(SalesTable5[[#This Row],[OrderDate]],"mmmm")</f>
        <v>January</v>
      </c>
      <c r="J55" t="str">
        <f>IF(SalesTable5[[#This Row],[UnitsSold]]&gt;=8,"High","Low")</f>
        <v>Low</v>
      </c>
    </row>
    <row r="56" spans="1:10">
      <c r="A56">
        <v>1002</v>
      </c>
      <c r="B56" s="1">
        <v>45293</v>
      </c>
      <c r="C56" t="s">
        <v>10</v>
      </c>
      <c r="D56" t="s">
        <v>11</v>
      </c>
      <c r="E56" t="s">
        <v>12</v>
      </c>
      <c r="F56">
        <v>8</v>
      </c>
      <c r="G56" s="2">
        <v>450</v>
      </c>
      <c r="H56" s="2">
        <f>SalesTable5[[#This Row],[UnitsSold]]*SalesTable5[[#This Row],[UnitPrice]]</f>
        <v>3600</v>
      </c>
      <c r="I56" s="2" t="str">
        <f>TEXT(SalesTable5[[#This Row],[OrderDate]],"mmmm")</f>
        <v>January</v>
      </c>
      <c r="J56" t="str">
        <f>IF(SalesTable5[[#This Row],[UnitsSold]]&gt;=8,"High","Low")</f>
        <v>High</v>
      </c>
    </row>
    <row r="57" spans="1:10">
      <c r="A57">
        <v>1004</v>
      </c>
      <c r="B57" s="1">
        <v>45295</v>
      </c>
      <c r="C57" t="s">
        <v>16</v>
      </c>
      <c r="D57" t="s">
        <v>17</v>
      </c>
      <c r="E57" t="s">
        <v>9</v>
      </c>
      <c r="F57">
        <v>3</v>
      </c>
      <c r="G57" s="2">
        <v>1200</v>
      </c>
      <c r="H57" s="2">
        <f>SalesTable5[[#This Row],[UnitsSold]]*SalesTable5[[#This Row],[UnitPrice]]</f>
        <v>3600</v>
      </c>
      <c r="I57" t="str">
        <f>TEXT(SalesTable5[[#This Row],[OrderDate]],"mmmm")</f>
        <v>January</v>
      </c>
      <c r="J57" t="str">
        <f>IF(SalesTable5[[#This Row],[UnitsSold]]&gt;=8,"High","Low")</f>
        <v>Low</v>
      </c>
    </row>
    <row r="58" spans="1:10">
      <c r="A58">
        <v>1018</v>
      </c>
      <c r="B58" s="1">
        <v>45309</v>
      </c>
      <c r="C58" t="s">
        <v>10</v>
      </c>
      <c r="D58" t="s">
        <v>11</v>
      </c>
      <c r="E58" t="s">
        <v>9</v>
      </c>
      <c r="F58">
        <v>3</v>
      </c>
      <c r="G58" s="2">
        <v>1200</v>
      </c>
      <c r="H58" s="2">
        <f>SalesTable5[[#This Row],[UnitsSold]]*SalesTable5[[#This Row],[UnitPrice]]</f>
        <v>3600</v>
      </c>
      <c r="I58" t="str">
        <f>TEXT(SalesTable5[[#This Row],[OrderDate]],"mmmm")</f>
        <v>January</v>
      </c>
      <c r="J58" t="str">
        <f>IF(SalesTable5[[#This Row],[UnitsSold]]&gt;=8,"High","Low")</f>
        <v>Low</v>
      </c>
    </row>
    <row r="59" spans="1:10">
      <c r="A59">
        <v>1024</v>
      </c>
      <c r="B59" s="1">
        <v>45315</v>
      </c>
      <c r="C59" t="s">
        <v>16</v>
      </c>
      <c r="D59" t="s">
        <v>17</v>
      </c>
      <c r="E59" t="s">
        <v>12</v>
      </c>
      <c r="F59">
        <v>8</v>
      </c>
      <c r="G59" s="2">
        <v>450</v>
      </c>
      <c r="H59" s="2">
        <f>SalesTable5[[#This Row],[UnitsSold]]*SalesTable5[[#This Row],[UnitPrice]]</f>
        <v>3600</v>
      </c>
      <c r="I59" t="str">
        <f>TEXT(SalesTable5[[#This Row],[OrderDate]],"mmmm")</f>
        <v>January</v>
      </c>
      <c r="J59" t="str">
        <f>IF(SalesTable5[[#This Row],[UnitsSold]]&gt;=8,"High","Low")</f>
        <v>High</v>
      </c>
    </row>
    <row r="60" spans="1:10">
      <c r="A60">
        <v>1033</v>
      </c>
      <c r="B60" s="1">
        <v>45325</v>
      </c>
      <c r="C60" t="s">
        <v>7</v>
      </c>
      <c r="D60" t="s">
        <v>8</v>
      </c>
      <c r="E60" t="s">
        <v>9</v>
      </c>
      <c r="F60">
        <v>3</v>
      </c>
      <c r="G60" s="2">
        <v>1200</v>
      </c>
      <c r="H60" s="2">
        <f>SalesTable5[[#This Row],[UnitsSold]]*SalesTable5[[#This Row],[UnitPrice]]</f>
        <v>3600</v>
      </c>
      <c r="I60" t="str">
        <f>TEXT(SalesTable5[[#This Row],[OrderDate]],"mmmm")</f>
        <v>February</v>
      </c>
      <c r="J60" t="str">
        <f>IF(SalesTable5[[#This Row],[UnitsSold]]&gt;=8,"High","Low")</f>
        <v>Low</v>
      </c>
    </row>
    <row r="61" spans="1:10">
      <c r="A61">
        <v>1041</v>
      </c>
      <c r="B61" s="1">
        <v>45333</v>
      </c>
      <c r="C61" t="s">
        <v>7</v>
      </c>
      <c r="D61" t="s">
        <v>8</v>
      </c>
      <c r="E61" t="s">
        <v>12</v>
      </c>
      <c r="F61">
        <v>8</v>
      </c>
      <c r="G61" s="2">
        <v>450</v>
      </c>
      <c r="H61" s="2">
        <f>SalesTable5[[#This Row],[UnitsSold]]*SalesTable5[[#This Row],[UnitPrice]]</f>
        <v>3600</v>
      </c>
      <c r="I61" t="str">
        <f>TEXT(SalesTable5[[#This Row],[OrderDate]],"mmmm")</f>
        <v>February</v>
      </c>
      <c r="J61" t="str">
        <f>IF(SalesTable5[[#This Row],[UnitsSold]]&gt;=8,"High","Low")</f>
        <v>High</v>
      </c>
    </row>
    <row r="62" spans="1:10">
      <c r="A62">
        <v>1048</v>
      </c>
      <c r="B62" s="1">
        <v>45340</v>
      </c>
      <c r="C62" t="s">
        <v>16</v>
      </c>
      <c r="D62" t="s">
        <v>17</v>
      </c>
      <c r="E62" t="s">
        <v>9</v>
      </c>
      <c r="F62">
        <v>3</v>
      </c>
      <c r="G62" s="2">
        <v>1200</v>
      </c>
      <c r="H62" s="2">
        <f>SalesTable5[[#This Row],[UnitsSold]]*SalesTable5[[#This Row],[UnitPrice]]</f>
        <v>3600</v>
      </c>
      <c r="I62" t="str">
        <f>TEXT(SalesTable5[[#This Row],[OrderDate]],"mmmm")</f>
        <v>February</v>
      </c>
      <c r="J62" t="str">
        <f>IF(SalesTable5[[#This Row],[UnitsSold]]&gt;=8,"High","Low")</f>
        <v>Low</v>
      </c>
    </row>
    <row r="63" spans="1:10">
      <c r="A63">
        <v>1062</v>
      </c>
      <c r="B63" s="1">
        <v>45355</v>
      </c>
      <c r="C63" t="s">
        <v>10</v>
      </c>
      <c r="D63" t="s">
        <v>11</v>
      </c>
      <c r="E63" t="s">
        <v>12</v>
      </c>
      <c r="F63">
        <v>8</v>
      </c>
      <c r="G63" s="2">
        <v>450</v>
      </c>
      <c r="H63" s="2">
        <f>SalesTable5[[#This Row],[UnitsSold]]*SalesTable5[[#This Row],[UnitPrice]]</f>
        <v>3600</v>
      </c>
      <c r="I63" t="str">
        <f>TEXT(SalesTable5[[#This Row],[OrderDate]],"mmmm")</f>
        <v>March</v>
      </c>
      <c r="J63" t="str">
        <f>IF(SalesTable5[[#This Row],[UnitsSold]]&gt;=8,"High","Low")</f>
        <v>High</v>
      </c>
    </row>
    <row r="64" spans="1:10">
      <c r="A64">
        <v>1069</v>
      </c>
      <c r="B64" s="1">
        <v>45362</v>
      </c>
      <c r="C64" t="s">
        <v>7</v>
      </c>
      <c r="D64" t="s">
        <v>8</v>
      </c>
      <c r="E64" t="s">
        <v>9</v>
      </c>
      <c r="F64">
        <v>3</v>
      </c>
      <c r="G64" s="2">
        <v>1200</v>
      </c>
      <c r="H64" s="2">
        <f>SalesTable5[[#This Row],[UnitsSold]]*SalesTable5[[#This Row],[UnitPrice]]</f>
        <v>3600</v>
      </c>
      <c r="I64" t="str">
        <f>TEXT(SalesTable5[[#This Row],[OrderDate]],"mmmm")</f>
        <v>March</v>
      </c>
      <c r="J64" t="str">
        <f>IF(SalesTable5[[#This Row],[UnitsSold]]&gt;=8,"High","Low")</f>
        <v>Low</v>
      </c>
    </row>
    <row r="65" spans="1:10">
      <c r="A65">
        <v>1077</v>
      </c>
      <c r="B65" s="1">
        <v>45370</v>
      </c>
      <c r="C65" t="s">
        <v>7</v>
      </c>
      <c r="D65" t="s">
        <v>8</v>
      </c>
      <c r="E65" t="s">
        <v>12</v>
      </c>
      <c r="F65">
        <v>8</v>
      </c>
      <c r="G65" s="2">
        <v>450</v>
      </c>
      <c r="H65" s="2">
        <f>SalesTable5[[#This Row],[UnitsSold]]*SalesTable5[[#This Row],[UnitPrice]]</f>
        <v>3600</v>
      </c>
      <c r="I65" t="str">
        <f>TEXT(SalesTable5[[#This Row],[OrderDate]],"mmmm")</f>
        <v>March</v>
      </c>
      <c r="J65" t="str">
        <f>IF(SalesTable5[[#This Row],[UnitsSold]]&gt;=8,"High","Low")</f>
        <v>High</v>
      </c>
    </row>
    <row r="66" spans="1:10">
      <c r="A66">
        <v>1007</v>
      </c>
      <c r="B66" s="1">
        <v>45298</v>
      </c>
      <c r="C66" t="s">
        <v>13</v>
      </c>
      <c r="D66" t="s">
        <v>14</v>
      </c>
      <c r="E66" t="s">
        <v>12</v>
      </c>
      <c r="F66">
        <v>7</v>
      </c>
      <c r="G66" s="2">
        <v>450</v>
      </c>
      <c r="H66" s="2">
        <f>SalesTable5[[#This Row],[UnitsSold]]*SalesTable5[[#This Row],[UnitPrice]]</f>
        <v>3150</v>
      </c>
      <c r="I66" t="str">
        <f>TEXT(SalesTable5[[#This Row],[OrderDate]],"mmmm")</f>
        <v>January</v>
      </c>
      <c r="J66" t="str">
        <f>IF(SalesTable5[[#This Row],[UnitsSold]]&gt;=8,"High","Low")</f>
        <v>Low</v>
      </c>
    </row>
    <row r="67" spans="1:10">
      <c r="A67">
        <v>1026</v>
      </c>
      <c r="B67" s="1">
        <v>45317</v>
      </c>
      <c r="C67" t="s">
        <v>10</v>
      </c>
      <c r="D67" t="s">
        <v>11</v>
      </c>
      <c r="E67" t="s">
        <v>12</v>
      </c>
      <c r="F67">
        <v>7</v>
      </c>
      <c r="G67" s="2">
        <v>450</v>
      </c>
      <c r="H67" s="2">
        <f>SalesTable5[[#This Row],[UnitsSold]]*SalesTable5[[#This Row],[UnitPrice]]</f>
        <v>3150</v>
      </c>
      <c r="I67" t="str">
        <f>TEXT(SalesTable5[[#This Row],[OrderDate]],"mmmm")</f>
        <v>January</v>
      </c>
      <c r="J67" t="str">
        <f>IF(SalesTable5[[#This Row],[UnitsSold]]&gt;=8,"High","Low")</f>
        <v>Low</v>
      </c>
    </row>
    <row r="68" spans="1:10">
      <c r="A68">
        <v>1035</v>
      </c>
      <c r="B68" s="1">
        <v>45327</v>
      </c>
      <c r="C68" t="s">
        <v>13</v>
      </c>
      <c r="D68" t="s">
        <v>14</v>
      </c>
      <c r="E68" t="s">
        <v>12</v>
      </c>
      <c r="F68">
        <v>7</v>
      </c>
      <c r="G68" s="2">
        <v>450</v>
      </c>
      <c r="H68" s="2">
        <f>SalesTable5[[#This Row],[UnitsSold]]*SalesTable5[[#This Row],[UnitPrice]]</f>
        <v>3150</v>
      </c>
      <c r="I68" t="str">
        <f>TEXT(SalesTable5[[#This Row],[OrderDate]],"mmmm")</f>
        <v>February</v>
      </c>
      <c r="J68" t="str">
        <f>IF(SalesTable5[[#This Row],[UnitsSold]]&gt;=8,"High","Low")</f>
        <v>Low</v>
      </c>
    </row>
    <row r="69" spans="1:10">
      <c r="A69">
        <v>1050</v>
      </c>
      <c r="B69" s="1">
        <v>45342</v>
      </c>
      <c r="C69" t="s">
        <v>10</v>
      </c>
      <c r="D69" t="s">
        <v>11</v>
      </c>
      <c r="E69" t="s">
        <v>12</v>
      </c>
      <c r="F69">
        <v>7</v>
      </c>
      <c r="G69" s="2">
        <v>450</v>
      </c>
      <c r="H69" s="2">
        <f>SalesTable5[[#This Row],[UnitsSold]]*SalesTable5[[#This Row],[UnitPrice]]</f>
        <v>3150</v>
      </c>
      <c r="I69" t="str">
        <f>TEXT(SalesTable5[[#This Row],[OrderDate]],"mmmm")</f>
        <v>February</v>
      </c>
      <c r="J69" t="str">
        <f>IF(SalesTable5[[#This Row],[UnitsSold]]&gt;=8,"High","Low")</f>
        <v>Low</v>
      </c>
    </row>
    <row r="70" spans="1:10">
      <c r="A70">
        <v>1068</v>
      </c>
      <c r="B70" s="1">
        <v>45361</v>
      </c>
      <c r="C70" t="s">
        <v>16</v>
      </c>
      <c r="D70" t="s">
        <v>17</v>
      </c>
      <c r="E70" t="s">
        <v>12</v>
      </c>
      <c r="F70">
        <v>7</v>
      </c>
      <c r="G70" s="2">
        <v>450</v>
      </c>
      <c r="H70" s="2">
        <f>SalesTable5[[#This Row],[UnitsSold]]*SalesTable5[[#This Row],[UnitPrice]]</f>
        <v>3150</v>
      </c>
      <c r="I70" t="str">
        <f>TEXT(SalesTable5[[#This Row],[OrderDate]],"mmmm")</f>
        <v>March</v>
      </c>
      <c r="J70" t="str">
        <f>IF(SalesTable5[[#This Row],[UnitsSold]]&gt;=8,"High","Low")</f>
        <v>Low</v>
      </c>
    </row>
    <row r="71" spans="1:10">
      <c r="A71">
        <v>1080</v>
      </c>
      <c r="B71" s="1">
        <v>45373</v>
      </c>
      <c r="C71" t="s">
        <v>16</v>
      </c>
      <c r="D71" t="s">
        <v>17</v>
      </c>
      <c r="E71" t="s">
        <v>12</v>
      </c>
      <c r="F71">
        <v>7</v>
      </c>
      <c r="G71" s="2">
        <v>450</v>
      </c>
      <c r="H71" s="2">
        <f>SalesTable5[[#This Row],[UnitsSold]]*SalesTable5[[#This Row],[UnitPrice]]</f>
        <v>3150</v>
      </c>
      <c r="I71" t="str">
        <f>TEXT(SalesTable5[[#This Row],[OrderDate]],"mmmm")</f>
        <v>March</v>
      </c>
      <c r="J71" t="str">
        <f>IF(SalesTable5[[#This Row],[UnitsSold]]&gt;=8,"High","Low")</f>
        <v>Low</v>
      </c>
    </row>
    <row r="72" spans="1:10">
      <c r="A72">
        <v>1012</v>
      </c>
      <c r="B72" s="1">
        <v>45303</v>
      </c>
      <c r="C72" t="s">
        <v>16</v>
      </c>
      <c r="D72" t="s">
        <v>17</v>
      </c>
      <c r="E72" t="s">
        <v>12</v>
      </c>
      <c r="F72">
        <v>6</v>
      </c>
      <c r="G72" s="2">
        <v>450</v>
      </c>
      <c r="H72" s="2">
        <f>SalesTable5[[#This Row],[UnitsSold]]*SalesTable5[[#This Row],[UnitPrice]]</f>
        <v>2700</v>
      </c>
      <c r="I72" t="str">
        <f>TEXT(SalesTable5[[#This Row],[OrderDate]],"mmmm")</f>
        <v>January</v>
      </c>
      <c r="J72" t="str">
        <f>IF(SalesTable5[[#This Row],[UnitsSold]]&gt;=8,"High","Low")</f>
        <v>Low</v>
      </c>
    </row>
    <row r="73" spans="1:10">
      <c r="A73">
        <v>1019</v>
      </c>
      <c r="B73" s="1">
        <v>45310</v>
      </c>
      <c r="C73" t="s">
        <v>13</v>
      </c>
      <c r="D73" t="s">
        <v>14</v>
      </c>
      <c r="E73" t="s">
        <v>12</v>
      </c>
      <c r="F73">
        <v>6</v>
      </c>
      <c r="G73" s="2">
        <v>450</v>
      </c>
      <c r="H73" s="2">
        <f>SalesTable5[[#This Row],[UnitsSold]]*SalesTable5[[#This Row],[UnitPrice]]</f>
        <v>2700</v>
      </c>
      <c r="I73" t="str">
        <f>TEXT(SalesTable5[[#This Row],[OrderDate]],"mmmm")</f>
        <v>January</v>
      </c>
      <c r="J73" t="str">
        <f>IF(SalesTable5[[#This Row],[UnitsSold]]&gt;=8,"High","Low")</f>
        <v>Low</v>
      </c>
    </row>
    <row r="74" spans="1:10">
      <c r="A74">
        <v>1038</v>
      </c>
      <c r="B74" s="1">
        <v>45330</v>
      </c>
      <c r="C74" t="s">
        <v>10</v>
      </c>
      <c r="D74" t="s">
        <v>11</v>
      </c>
      <c r="E74" t="s">
        <v>12</v>
      </c>
      <c r="F74">
        <v>6</v>
      </c>
      <c r="G74" s="2">
        <v>450</v>
      </c>
      <c r="H74" s="2">
        <f>SalesTable5[[#This Row],[UnitsSold]]*SalesTable5[[#This Row],[UnitPrice]]</f>
        <v>2700</v>
      </c>
      <c r="I74" t="str">
        <f>TEXT(SalesTable5[[#This Row],[OrderDate]],"mmmm")</f>
        <v>February</v>
      </c>
      <c r="J74" t="str">
        <f>IF(SalesTable5[[#This Row],[UnitsSold]]&gt;=8,"High","Low")</f>
        <v>Low</v>
      </c>
    </row>
    <row r="75" spans="1:10">
      <c r="A75">
        <v>1056</v>
      </c>
      <c r="B75" s="1">
        <v>45348</v>
      </c>
      <c r="C75" t="s">
        <v>16</v>
      </c>
      <c r="D75" t="s">
        <v>17</v>
      </c>
      <c r="E75" t="s">
        <v>12</v>
      </c>
      <c r="F75">
        <v>6</v>
      </c>
      <c r="G75" s="2">
        <v>450</v>
      </c>
      <c r="H75" s="2">
        <f>SalesTable5[[#This Row],[UnitsSold]]*SalesTable5[[#This Row],[UnitPrice]]</f>
        <v>2700</v>
      </c>
      <c r="I75" t="str">
        <f>TEXT(SalesTable5[[#This Row],[OrderDate]],"mmmm")</f>
        <v>February</v>
      </c>
      <c r="J75" t="str">
        <f>IF(SalesTable5[[#This Row],[UnitsSold]]&gt;=8,"High","Low")</f>
        <v>Low</v>
      </c>
    </row>
    <row r="76" spans="1:10">
      <c r="A76">
        <v>1071</v>
      </c>
      <c r="B76" s="1">
        <v>45364</v>
      </c>
      <c r="C76" t="s">
        <v>13</v>
      </c>
      <c r="D76" t="s">
        <v>14</v>
      </c>
      <c r="E76" t="s">
        <v>12</v>
      </c>
      <c r="F76">
        <v>6</v>
      </c>
      <c r="G76" s="2">
        <v>450</v>
      </c>
      <c r="H76" s="2">
        <f>SalesTable5[[#This Row],[UnitsSold]]*SalesTable5[[#This Row],[UnitPrice]]</f>
        <v>2700</v>
      </c>
      <c r="I76" t="str">
        <f>TEXT(SalesTable5[[#This Row],[OrderDate]],"mmmm")</f>
        <v>March</v>
      </c>
      <c r="J76" t="str">
        <f>IF(SalesTable5[[#This Row],[UnitsSold]]&gt;=8,"High","Low")</f>
        <v>Low</v>
      </c>
    </row>
    <row r="77" spans="1:10">
      <c r="A77">
        <v>1011</v>
      </c>
      <c r="B77" s="1">
        <v>45302</v>
      </c>
      <c r="C77" t="s">
        <v>13</v>
      </c>
      <c r="D77" t="s">
        <v>14</v>
      </c>
      <c r="E77" t="s">
        <v>9</v>
      </c>
      <c r="F77">
        <v>2</v>
      </c>
      <c r="G77" s="2">
        <v>1200</v>
      </c>
      <c r="H77" s="2">
        <f>SalesTable5[[#This Row],[UnitsSold]]*SalesTable5[[#This Row],[UnitPrice]]</f>
        <v>2400</v>
      </c>
      <c r="I77" t="str">
        <f>TEXT(SalesTable5[[#This Row],[OrderDate]],"mmmm")</f>
        <v>January</v>
      </c>
      <c r="J77" t="str">
        <f>IF(SalesTable5[[#This Row],[UnitsSold]]&gt;=8,"High","Low")</f>
        <v>Low</v>
      </c>
    </row>
    <row r="78" spans="1:10">
      <c r="A78">
        <v>1028</v>
      </c>
      <c r="B78" s="1">
        <v>45319</v>
      </c>
      <c r="C78" t="s">
        <v>16</v>
      </c>
      <c r="D78" t="s">
        <v>17</v>
      </c>
      <c r="E78" t="s">
        <v>9</v>
      </c>
      <c r="F78">
        <v>2</v>
      </c>
      <c r="G78" s="2">
        <v>1200</v>
      </c>
      <c r="H78" s="2">
        <f>SalesTable5[[#This Row],[UnitsSold]]*SalesTable5[[#This Row],[UnitPrice]]</f>
        <v>2400</v>
      </c>
      <c r="I78" t="str">
        <f>TEXT(SalesTable5[[#This Row],[OrderDate]],"mmmm")</f>
        <v>January</v>
      </c>
      <c r="J78" t="str">
        <f>IF(SalesTable5[[#This Row],[UnitsSold]]&gt;=8,"High","Low")</f>
        <v>Low</v>
      </c>
    </row>
    <row r="79" spans="1:10">
      <c r="A79">
        <v>1009</v>
      </c>
      <c r="B79" s="1">
        <v>45300</v>
      </c>
      <c r="C79" t="s">
        <v>7</v>
      </c>
      <c r="D79" t="s">
        <v>8</v>
      </c>
      <c r="E79" t="s">
        <v>12</v>
      </c>
      <c r="F79">
        <v>5</v>
      </c>
      <c r="G79" s="2">
        <v>450</v>
      </c>
      <c r="H79" s="2">
        <f>SalesTable5[[#This Row],[UnitsSold]]*SalesTable5[[#This Row],[UnitPrice]]</f>
        <v>2250</v>
      </c>
      <c r="I79" t="str">
        <f>TEXT(SalesTable5[[#This Row],[OrderDate]],"mmmm")</f>
        <v>January</v>
      </c>
      <c r="J79" t="str">
        <f>IF(SalesTable5[[#This Row],[UnitsSold]]&gt;=8,"High","Low")</f>
        <v>Low</v>
      </c>
    </row>
    <row r="80" spans="1:10">
      <c r="A80">
        <v>1047</v>
      </c>
      <c r="B80" s="1">
        <v>45339</v>
      </c>
      <c r="C80" t="s">
        <v>13</v>
      </c>
      <c r="D80" t="s">
        <v>14</v>
      </c>
      <c r="E80" t="s">
        <v>12</v>
      </c>
      <c r="F80">
        <v>5</v>
      </c>
      <c r="G80" s="2">
        <v>450</v>
      </c>
      <c r="H80" s="2">
        <f>SalesTable5[[#This Row],[UnitsSold]]*SalesTable5[[#This Row],[UnitPrice]]</f>
        <v>2250</v>
      </c>
      <c r="I80" t="str">
        <f>TEXT(SalesTable5[[#This Row],[OrderDate]],"mmmm")</f>
        <v>February</v>
      </c>
      <c r="J80" t="str">
        <f>IF(SalesTable5[[#This Row],[UnitsSold]]&gt;=8,"High","Low")</f>
        <v>Low</v>
      </c>
    </row>
    <row r="81" spans="1:10">
      <c r="A81">
        <v>1065</v>
      </c>
      <c r="B81" s="1">
        <v>45358</v>
      </c>
      <c r="C81" t="s">
        <v>7</v>
      </c>
      <c r="D81" t="s">
        <v>8</v>
      </c>
      <c r="E81" t="s">
        <v>12</v>
      </c>
      <c r="F81">
        <v>5</v>
      </c>
      <c r="G81" s="2">
        <v>450</v>
      </c>
      <c r="H81" s="2">
        <f>SalesTable5[[#This Row],[UnitsSold]]*SalesTable5[[#This Row],[UnitPrice]]</f>
        <v>2250</v>
      </c>
      <c r="I81" t="str">
        <f>TEXT(SalesTable5[[#This Row],[OrderDate]],"mmmm")</f>
        <v>March</v>
      </c>
      <c r="J81" t="str">
        <f>IF(SalesTable5[[#This Row],[UnitsSold]]&gt;=8,"High","Low")</f>
        <v>Low</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E64C-1EE7-485A-8444-D9F6C6FD2AEC}">
  <dimension ref="A1:I20"/>
  <sheetViews>
    <sheetView showGridLines="0" tabSelected="1" workbookViewId="0">
      <selection activeCell="K25" sqref="K25"/>
    </sheetView>
  </sheetViews>
  <sheetFormatPr defaultRowHeight="14.4"/>
  <cols>
    <col min="1" max="1" width="10.5546875" bestFit="1" customWidth="1"/>
    <col min="2" max="2" width="16.109375" bestFit="1" customWidth="1"/>
    <col min="4" max="4" width="10.5546875" bestFit="1" customWidth="1"/>
    <col min="5" max="5" width="16.109375" bestFit="1" customWidth="1"/>
    <col min="8" max="8" width="12.44140625" bestFit="1" customWidth="1"/>
    <col min="9" max="9" width="16.109375" bestFit="1" customWidth="1"/>
    <col min="11" max="11" width="21.77734375" bestFit="1" customWidth="1"/>
    <col min="12" max="12" width="13.21875" bestFit="1" customWidth="1"/>
  </cols>
  <sheetData>
    <row r="1" spans="1:9">
      <c r="A1" s="8" t="s">
        <v>44</v>
      </c>
      <c r="B1" t="s">
        <v>43</v>
      </c>
      <c r="H1" s="8" t="s">
        <v>41</v>
      </c>
      <c r="I1" t="s">
        <v>43</v>
      </c>
    </row>
    <row r="2" spans="1:9">
      <c r="A2" s="9" t="s">
        <v>9</v>
      </c>
      <c r="B2" s="10">
        <v>142800</v>
      </c>
      <c r="H2" s="9" t="s">
        <v>27</v>
      </c>
      <c r="I2" s="10">
        <v>41650</v>
      </c>
    </row>
    <row r="3" spans="1:9">
      <c r="A3" s="9" t="s">
        <v>15</v>
      </c>
      <c r="B3" s="10">
        <v>184800</v>
      </c>
      <c r="H3" s="9" t="s">
        <v>31</v>
      </c>
      <c r="I3" s="10">
        <v>24700</v>
      </c>
    </row>
    <row r="4" spans="1:9">
      <c r="A4" s="9" t="s">
        <v>12</v>
      </c>
      <c r="B4" s="10">
        <v>86400</v>
      </c>
      <c r="H4" s="9" t="s">
        <v>35</v>
      </c>
      <c r="I4" s="10">
        <v>16800</v>
      </c>
    </row>
    <row r="5" spans="1:9">
      <c r="A5" s="9" t="s">
        <v>42</v>
      </c>
      <c r="B5" s="10">
        <v>414000</v>
      </c>
      <c r="H5" s="9" t="s">
        <v>25</v>
      </c>
      <c r="I5" s="10">
        <v>57000</v>
      </c>
    </row>
    <row r="6" spans="1:9">
      <c r="H6" s="9" t="s">
        <v>24</v>
      </c>
      <c r="I6" s="10">
        <v>60750</v>
      </c>
    </row>
    <row r="7" spans="1:9">
      <c r="H7" s="9" t="s">
        <v>30</v>
      </c>
      <c r="I7" s="10">
        <v>20300</v>
      </c>
    </row>
    <row r="8" spans="1:9">
      <c r="H8" s="9" t="s">
        <v>29</v>
      </c>
      <c r="I8" s="10">
        <v>29250</v>
      </c>
    </row>
    <row r="9" spans="1:9">
      <c r="H9" s="9" t="s">
        <v>26</v>
      </c>
      <c r="I9" s="10">
        <v>67350</v>
      </c>
    </row>
    <row r="10" spans="1:9">
      <c r="H10" s="9" t="s">
        <v>28</v>
      </c>
      <c r="I10" s="10">
        <v>41800</v>
      </c>
    </row>
    <row r="11" spans="1:9">
      <c r="H11" s="9" t="s">
        <v>34</v>
      </c>
      <c r="I11" s="10">
        <v>20800</v>
      </c>
    </row>
    <row r="12" spans="1:9">
      <c r="A12" s="3"/>
      <c r="B12" s="3"/>
      <c r="H12" s="9" t="s">
        <v>33</v>
      </c>
      <c r="I12" s="10">
        <v>29600</v>
      </c>
    </row>
    <row r="13" spans="1:9">
      <c r="A13" s="5"/>
      <c r="B13" s="5"/>
      <c r="H13" s="9" t="s">
        <v>32</v>
      </c>
      <c r="I13" s="10">
        <v>4000</v>
      </c>
    </row>
    <row r="14" spans="1:9">
      <c r="A14" s="5"/>
      <c r="B14" s="5"/>
      <c r="H14" s="9" t="s">
        <v>42</v>
      </c>
      <c r="I14" s="10">
        <v>414000</v>
      </c>
    </row>
    <row r="15" spans="1:9">
      <c r="A15" s="8" t="s">
        <v>2</v>
      </c>
      <c r="B15" t="s">
        <v>43</v>
      </c>
    </row>
    <row r="16" spans="1:9">
      <c r="A16" s="9" t="s">
        <v>7</v>
      </c>
      <c r="B16" s="10">
        <v>95850</v>
      </c>
    </row>
    <row r="17" spans="1:9">
      <c r="A17" s="9" t="s">
        <v>13</v>
      </c>
      <c r="B17" s="10">
        <v>106400</v>
      </c>
      <c r="H17" t="s">
        <v>36</v>
      </c>
      <c r="I17" s="2" t="s">
        <v>40</v>
      </c>
    </row>
    <row r="18" spans="1:9">
      <c r="A18" s="9" t="s">
        <v>16</v>
      </c>
      <c r="B18" s="10">
        <v>99850</v>
      </c>
      <c r="H18" s="5" t="s">
        <v>37</v>
      </c>
      <c r="I18" s="7">
        <f>COUNTA(SalesTable[OrderID])</f>
        <v>80</v>
      </c>
    </row>
    <row r="19" spans="1:9" ht="28.8">
      <c r="A19" s="9" t="s">
        <v>10</v>
      </c>
      <c r="B19" s="10">
        <v>111900</v>
      </c>
      <c r="H19" s="5" t="s">
        <v>38</v>
      </c>
      <c r="I19" s="7">
        <f>AVERAGE(SalesTable[Total Sales])</f>
        <v>5175</v>
      </c>
    </row>
    <row r="20" spans="1:9" ht="43.2">
      <c r="A20" s="9" t="s">
        <v>42</v>
      </c>
      <c r="B20" s="10">
        <v>414000</v>
      </c>
      <c r="H20" s="5" t="s">
        <v>39</v>
      </c>
      <c r="I20" s="7">
        <f>COUNTIFS(SalesTable[Performance],"High")</f>
        <v>31</v>
      </c>
    </row>
  </sheetData>
  <pageMargins left="0.7" right="0.7" top="0.75" bottom="0.75" header="0.3" footer="0.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1985F6-1350-415A-8AA1-CAA7B5280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Pivot_Data</vt:lpstr>
      <vt:lpstr>sales_data csv</vt:lpstr>
      <vt:lpstr>Summary</vt:lpstr>
      <vt:lpstr>Clean_Data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Hiruni Malsha Paththini Durage</dc:creator>
  <cp:lastModifiedBy>Hiruni Malsha Paththini Durage</cp:lastModifiedBy>
  <dcterms:created xsi:type="dcterms:W3CDTF">2026-02-05T05:25:29Z</dcterms:created>
  <dcterms:modified xsi:type="dcterms:W3CDTF">2026-02-10T05:16:25Z</dcterms:modified>
</cp:coreProperties>
</file>